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參數" sheetId="1" state="visible" r:id="rId1"/>
    <sheet xmlns:r="http://schemas.openxmlformats.org/officeDocument/2006/relationships" name="小學" sheetId="2" state="visible" r:id="rId2"/>
    <sheet xmlns:r="http://schemas.openxmlformats.org/officeDocument/2006/relationships" name="中學" sheetId="3" state="visible" r:id="rId3"/>
  </sheets>
  <definedNames>
    <definedName name="_xlnm.Print_Titles" localSheetId="1">'小學'!$1:$16</definedName>
    <definedName name="_xlnm.Print_Titles" localSheetId="2">'中學'!$1:$16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sz val="11"/>
    </font>
    <font>
      <name val="Calibri"/>
      <color rgb="007A5C00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F4F6F8"/>
      </patternFill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3" fontId="4" fillId="2" borderId="1" applyAlignment="1" pivotButton="0" quotePrefix="0" xfId="0">
      <alignment vertical="center"/>
    </xf>
    <xf numFmtId="4" fontId="3" fillId="3" borderId="1" pivotButton="0" quotePrefix="0" xfId="0"/>
    <xf numFmtId="1" fontId="4" fillId="2" borderId="1" applyAlignment="1" pivotButton="0" quotePrefix="0" xfId="0">
      <alignment vertical="center"/>
    </xf>
    <xf numFmtId="1" fontId="3" fillId="3" borderId="1" pivotButton="0" quotePrefix="0" xfId="0"/>
    <xf numFmtId="9" fontId="4" fillId="2" borderId="1" applyAlignment="1" pivotButton="0" quotePrefix="0" xfId="0">
      <alignment vertical="center"/>
    </xf>
    <xf numFmtId="9" fontId="3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3" fillId="3" borderId="1" pivotButton="0" quotePrefix="0" xfId="0"/>
    <xf numFmtId="0" fontId="3" fillId="3" borderId="1" pivotButton="0" quotePrefix="0" xfId="0"/>
    <xf numFmtId="3" fontId="3" fillId="3" borderId="1" pivotButton="0" quotePrefix="0" xfId="0"/>
    <xf numFmtId="0" fontId="7" fillId="5" borderId="1" pivotButton="0" quotePrefix="0" xfId="0"/>
    <xf numFmtId="1" fontId="7" fillId="5" borderId="1" pivotButton="0" quotePrefix="0" xfId="0"/>
    <xf numFmtId="2" fontId="7" fillId="5" borderId="1" pivotButton="0" quotePrefix="0" xfId="0"/>
    <xf numFmtId="3" fontId="7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BBD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51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</cols>
  <sheetData>
    <row r="1" ht="24" customHeight="1">
      <c r="A1" s="1" t="inlineStr">
        <is>
          <t>功輔回本假設（黃格可改；灰格是公式，勿覆寫）</t>
        </is>
      </c>
    </row>
    <row r="2" ht="36" customHeight="1">
      <c r="A2" s="2" t="inlineStr">
        <is>
          <t>場地按 23/31 歸功輔、8/31 歸專科週末。Katie 全職月薪 × 佔比計入功輔。小學／中學分頁會用本頁數字自動重算。</t>
        </is>
      </c>
    </row>
    <row r="4">
      <c r="A4" s="3" t="inlineStr">
        <is>
          <t>場地（17D＋17E）</t>
        </is>
      </c>
    </row>
    <row r="5">
      <c r="A5" s="4" t="inlineStr">
        <is>
          <t>月租（港元）</t>
        </is>
      </c>
      <c r="B5" s="5" t="n">
        <v>15000</v>
      </c>
    </row>
    <row r="6">
      <c r="A6" s="4" t="inlineStr">
        <is>
          <t>管理費（港元／月）</t>
        </is>
      </c>
      <c r="B6" s="5" t="n">
        <v>4881</v>
      </c>
    </row>
    <row r="7">
      <c r="A7" s="4" t="inlineStr">
        <is>
          <t>差餉（港元／季）</t>
        </is>
      </c>
      <c r="B7" s="5" t="n">
        <v>3660</v>
      </c>
    </row>
    <row r="8">
      <c r="A8" t="inlineStr">
        <is>
          <t>差餉攤每月</t>
        </is>
      </c>
      <c r="B8" s="6">
        <f>B7/3</f>
        <v/>
      </c>
    </row>
    <row r="9">
      <c r="A9" t="inlineStr">
        <is>
          <t>場地每月合計</t>
        </is>
      </c>
      <c r="B9" s="6">
        <f>B5+B6+B8</f>
        <v/>
      </c>
    </row>
    <row r="10">
      <c r="A10" t="inlineStr">
        <is>
          <t>功輔佔日數</t>
        </is>
      </c>
      <c r="B10" s="7" t="n">
        <v>23</v>
      </c>
    </row>
    <row r="11">
      <c r="A11" t="inlineStr">
        <is>
          <t>一個月日數</t>
        </is>
      </c>
      <c r="B11" s="7" t="n">
        <v>31</v>
      </c>
    </row>
    <row r="12">
      <c r="A12" t="inlineStr">
        <is>
          <t>專科週末佔日數</t>
        </is>
      </c>
      <c r="B12" s="8">
        <f>B11-B10</f>
        <v/>
      </c>
    </row>
    <row r="13">
      <c r="A13" t="inlineStr">
        <is>
          <t>功輔場地（佔比分攤）</t>
        </is>
      </c>
      <c r="B13" s="6">
        <f>B9*B10/B11</f>
        <v/>
      </c>
      <c r="C13" t="inlineStr">
        <is>
          <t>← 兩室功輔合計</t>
        </is>
      </c>
    </row>
    <row r="14">
      <c r="A14" t="inlineStr">
        <is>
          <t>專科週末場地</t>
        </is>
      </c>
      <c r="B14" s="6">
        <f>B9*B12/B11</f>
        <v/>
      </c>
      <c r="C14" t="inlineStr">
        <is>
          <t>← 不入功輔回本</t>
        </is>
      </c>
    </row>
    <row r="16">
      <c r="A16" s="3" t="inlineStr">
        <is>
          <t>人事</t>
        </is>
      </c>
    </row>
    <row r="17">
      <c r="A17" t="inlineStr">
        <is>
          <t>Katie 全職月薪</t>
        </is>
      </c>
      <c r="B17" s="5" t="n">
        <v>20000</v>
      </c>
    </row>
    <row r="18">
      <c r="A18" t="inlineStr">
        <is>
          <t>功輔佔 Katie</t>
        </is>
      </c>
      <c r="B18" s="9" t="n">
        <v>0.3</v>
      </c>
    </row>
    <row r="19">
      <c r="A19" t="inlineStr">
        <is>
          <t>Katie 計入功輔</t>
        </is>
      </c>
      <c r="B19" s="6">
        <f>B17*B18</f>
        <v/>
      </c>
    </row>
    <row r="20">
      <c r="A20" t="inlineStr">
        <is>
          <t>資深 PT 日薪</t>
        </is>
      </c>
      <c r="B20" s="5" t="n">
        <v>350</v>
      </c>
    </row>
    <row r="21">
      <c r="A21" t="inlineStr">
        <is>
          <t>普通 PT 日薪</t>
        </is>
      </c>
      <c r="B21" s="5" t="n">
        <v>210</v>
      </c>
    </row>
    <row r="23">
      <c r="A23" s="3" t="inlineStr">
        <is>
          <t>兩室分攤場地及 Katie（合計應為 100%）</t>
        </is>
      </c>
    </row>
    <row r="24">
      <c r="A24" t="inlineStr">
        <is>
          <t>小學分攤</t>
        </is>
      </c>
      <c r="B24" s="9" t="n">
        <v>0.5</v>
      </c>
    </row>
    <row r="25">
      <c r="A25" t="inlineStr">
        <is>
          <t>中學分攤</t>
        </is>
      </c>
      <c r="B25" s="9" t="n">
        <v>0.5</v>
      </c>
    </row>
    <row r="26">
      <c r="A26" t="inlineStr">
        <is>
          <t>分攤合計（應＝100%）</t>
        </is>
      </c>
      <c r="B26" s="10">
        <f>B24+B25</f>
        <v/>
      </c>
    </row>
    <row r="27">
      <c r="A27" t="inlineStr">
        <is>
          <t>典型月平日（掃描表用）</t>
        </is>
      </c>
      <c r="B27" s="7" t="n">
        <v>20</v>
      </c>
    </row>
    <row r="29">
      <c r="A29" s="3" t="inlineStr">
        <is>
          <t>校曆（可改平日數或學費比例）</t>
        </is>
      </c>
    </row>
    <row r="30">
      <c r="A30" s="11" t="inlineStr">
        <is>
          <t>月份</t>
        </is>
      </c>
      <c r="B30" s="11" t="inlineStr">
        <is>
          <t>平日開放</t>
        </is>
      </c>
      <c r="C30" s="11" t="inlineStr">
        <is>
          <t>學費比例</t>
        </is>
      </c>
    </row>
    <row r="31">
      <c r="A31" s="12" t="inlineStr">
        <is>
          <t>9 月</t>
        </is>
      </c>
      <c r="B31" s="7" t="n">
        <v>22</v>
      </c>
      <c r="C31" s="9" t="n">
        <v>1</v>
      </c>
    </row>
    <row r="32">
      <c r="A32" s="12" t="inlineStr">
        <is>
          <t>10 月</t>
        </is>
      </c>
      <c r="B32" s="7" t="n">
        <v>20</v>
      </c>
      <c r="C32" s="9" t="n">
        <v>1</v>
      </c>
    </row>
    <row r="33">
      <c r="A33" s="12" t="inlineStr">
        <is>
          <t>11 月</t>
        </is>
      </c>
      <c r="B33" s="7" t="n">
        <v>21</v>
      </c>
      <c r="C33" s="9" t="n">
        <v>1</v>
      </c>
    </row>
    <row r="34">
      <c r="A34" s="12" t="inlineStr">
        <is>
          <t>12 月</t>
        </is>
      </c>
      <c r="B34" s="7" t="n">
        <v>15</v>
      </c>
      <c r="C34" s="9" t="n">
        <v>0.75</v>
      </c>
    </row>
    <row r="35">
      <c r="A35" s="12" t="inlineStr">
        <is>
          <t>1 月</t>
        </is>
      </c>
      <c r="B35" s="7" t="n">
        <v>20</v>
      </c>
      <c r="C35" s="9" t="n">
        <v>1</v>
      </c>
    </row>
    <row r="36">
      <c r="A36" s="12" t="inlineStr">
        <is>
          <t>2 月</t>
        </is>
      </c>
      <c r="B36" s="7" t="n">
        <v>15</v>
      </c>
      <c r="C36" s="9" t="n">
        <v>0.75</v>
      </c>
    </row>
    <row r="37">
      <c r="A37" s="12" t="inlineStr">
        <is>
          <t>3 月</t>
        </is>
      </c>
      <c r="B37" s="7" t="n">
        <v>20</v>
      </c>
      <c r="C37" s="9" t="n">
        <v>1</v>
      </c>
    </row>
    <row r="38">
      <c r="A38" s="12" t="inlineStr">
        <is>
          <t>4 月</t>
        </is>
      </c>
      <c r="B38" s="7" t="n">
        <v>21</v>
      </c>
      <c r="C38" s="9" t="n">
        <v>1</v>
      </c>
    </row>
    <row r="39">
      <c r="A39" s="12" t="inlineStr">
        <is>
          <t>5 月</t>
        </is>
      </c>
      <c r="B39" s="7" t="n">
        <v>20</v>
      </c>
      <c r="C39" s="9" t="n">
        <v>1</v>
      </c>
    </row>
    <row r="40">
      <c r="A40" s="12" t="inlineStr">
        <is>
          <t>6 月</t>
        </is>
      </c>
      <c r="B40" s="7" t="n">
        <v>21</v>
      </c>
      <c r="C40" s="9" t="n">
        <v>1</v>
      </c>
    </row>
    <row r="42">
      <c r="A42" t="inlineStr">
        <is>
          <t>學年平日合計</t>
        </is>
      </c>
      <c r="B42" s="8">
        <f>SUM(B31:B40)</f>
        <v/>
      </c>
    </row>
    <row r="43">
      <c r="A43" t="inlineStr">
        <is>
          <t>學費月數合計（12／2 月 75% 會計 0.75）</t>
        </is>
      </c>
      <c r="B43" s="13">
        <f>SUM(C31:C40)</f>
        <v/>
      </c>
    </row>
    <row r="45">
      <c r="A45" s="3" t="inlineStr">
        <is>
          <t>編制規則</t>
        </is>
      </c>
    </row>
    <row r="46" ht="28" customHeight="1">
      <c r="A46" s="2" t="inlineStr">
        <is>
          <t>中學：人數&gt;0 → ROUNDUP(人數/7,0) 位資深（1–7 一位，8–14 兩位）。
小學：人數&gt;0 → 1 位資深，帶滿「資深每位應對」後加普通；普通人數＝ROUNDUP((人數−資深每位)/普通每位,0)。容量在小學頁黃格改。</t>
        </is>
      </c>
    </row>
    <row r="47" ht="28" customHeight="1"/>
    <row r="48" ht="28" customHeight="1"/>
    <row r="50">
      <c r="A50" t="inlineStr">
        <is>
          <t>小學資深每位應對（來自小學頁）</t>
        </is>
      </c>
      <c r="B50" s="8">
        <f>小學!B7</f>
        <v/>
      </c>
    </row>
    <row r="51">
      <c r="A51" t="inlineStr">
        <is>
          <t>小學普通每位應對（來自小學頁）</t>
        </is>
      </c>
      <c r="B51" s="8">
        <f>小學!D7</f>
        <v/>
      </c>
    </row>
  </sheetData>
  <mergeCells count="6">
    <mergeCell ref="A46:C48"/>
    <mergeCell ref="A1:C1"/>
    <mergeCell ref="A23:C23"/>
    <mergeCell ref="A45:C45"/>
    <mergeCell ref="A29:C2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J5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小學功輔室回本</t>
        </is>
      </c>
    </row>
    <row r="2" ht="40" customHeight="1">
      <c r="A2" s="2" t="inlineStr">
        <is>
          <t>黃格可改。場地同 Katie 按「參數」頁分攤。小學編制：人數&gt;0 → 1 位資深；超出「資深每位應對」後按「普通每位應對」加普通。 每月場地／Katie 不跟該月平日數加減；PT 跟該月平日 × 日薪。</t>
        </is>
      </c>
    </row>
    <row r="4">
      <c r="A4" s="3" t="inlineStr">
        <is>
          <t>輸入</t>
        </is>
      </c>
    </row>
    <row r="5">
      <c r="A5" t="inlineStr">
        <is>
          <t>人數</t>
        </is>
      </c>
      <c r="B5" s="7" t="n">
        <v>7</v>
      </c>
    </row>
    <row r="6">
      <c r="A6" t="inlineStr">
        <is>
          <t>月費（全費月份）</t>
        </is>
      </c>
      <c r="B6" s="5" t="n">
        <v>2800</v>
      </c>
      <c r="C6" t="inlineStr">
        <is>
          <t>12 月／2 月自動 × 參數頁學費比例</t>
        </is>
      </c>
    </row>
    <row r="7" ht="28" customHeight="1">
      <c r="A7" t="inlineStr">
        <is>
          <t>資深每位應對學生</t>
        </is>
      </c>
      <c r="B7" s="7" t="n">
        <v>4</v>
      </c>
      <c r="C7" t="inlineStr">
        <is>
          <t>普通每位應對學生</t>
        </is>
      </c>
      <c r="D7" s="7" t="n">
        <v>3</v>
      </c>
      <c r="E7" s="2" t="inlineStr">
        <is>
          <t>人數&gt;0 先 1 位資深；帶滿 B7 後按 D7 加普通。改呢兩格會重算編制／損益／掃描表。</t>
        </is>
      </c>
    </row>
    <row r="8">
      <c r="A8" s="3" t="inlineStr">
        <is>
          <t>編制（公式）</t>
        </is>
      </c>
    </row>
    <row r="9">
      <c r="A9" t="inlineStr">
        <is>
          <t>資深老師</t>
        </is>
      </c>
      <c r="B9" s="8">
        <f>IF(B5&lt;=0,0,1)</f>
        <v/>
      </c>
    </row>
    <row r="10">
      <c r="A10" t="inlineStr">
        <is>
          <t>普通老師</t>
        </is>
      </c>
      <c r="B10" s="8">
        <f>IF(OR(B5&lt;=0,$D$7&lt;=0),0,IF(B5&lt;=$B$7,0,ROUNDUP((B5-$B$7)/$D$7,0)))</f>
        <v/>
      </c>
    </row>
    <row r="11">
      <c r="A11" t="inlineStr">
        <is>
          <t>PT 每日成本</t>
        </is>
      </c>
      <c r="B11" s="6">
        <f>B9*參數!$B$20+B10*參數!$B$21</f>
        <v/>
      </c>
    </row>
    <row r="12">
      <c r="A12" t="inlineStr">
        <is>
          <t>分攤場地／月</t>
        </is>
      </c>
      <c r="B12" s="6">
        <f>參數!$B$13*參數!$B$24</f>
        <v/>
      </c>
    </row>
    <row r="13">
      <c r="A13" t="inlineStr">
        <is>
          <t>分攤 Katie／月</t>
        </is>
      </c>
      <c r="B13" s="6">
        <f>參數!$B$19*參數!$B$24</f>
        <v/>
      </c>
    </row>
    <row r="15">
      <c r="A15" s="3" t="inlineStr">
        <is>
          <t>每月損益</t>
        </is>
      </c>
    </row>
    <row r="16">
      <c r="A16" s="11" t="inlineStr">
        <is>
          <t>月份</t>
        </is>
      </c>
      <c r="B16" s="11" t="inlineStr">
        <is>
          <t>平日</t>
        </is>
      </c>
      <c r="C16" s="11" t="inlineStr">
        <is>
          <t>學費比例</t>
        </is>
      </c>
      <c r="D16" s="11" t="inlineStr">
        <is>
          <t>場地</t>
        </is>
      </c>
      <c r="E16" s="11" t="inlineStr">
        <is>
          <t>Katie</t>
        </is>
      </c>
      <c r="F16" s="11" t="inlineStr">
        <is>
          <t>PT</t>
        </is>
      </c>
      <c r="G16" s="11" t="inlineStr">
        <is>
          <t>成本</t>
        </is>
      </c>
      <c r="H16" s="11" t="inlineStr">
        <is>
          <t>收入</t>
        </is>
      </c>
      <c r="I16" s="11" t="inlineStr">
        <is>
          <t>盈虧</t>
        </is>
      </c>
      <c r="J16" s="11" t="inlineStr">
        <is>
          <t>累計盈虧</t>
        </is>
      </c>
    </row>
    <row r="17">
      <c r="A17" s="14">
        <f>參數!A31</f>
        <v/>
      </c>
      <c r="B17" s="8">
        <f>參數!B31</f>
        <v/>
      </c>
      <c r="C17" s="10">
        <f>參數!C31</f>
        <v/>
      </c>
      <c r="D17" s="15">
        <f>$B$12</f>
        <v/>
      </c>
      <c r="E17" s="15">
        <f>$B$13</f>
        <v/>
      </c>
      <c r="F17" s="15">
        <f>$B$11*B17</f>
        <v/>
      </c>
      <c r="G17" s="15">
        <f>D17+E17+F17</f>
        <v/>
      </c>
      <c r="H17" s="15">
        <f>$B$5*$B$6*C17</f>
        <v/>
      </c>
      <c r="I17" s="15">
        <f>H17-G17</f>
        <v/>
      </c>
      <c r="J17" s="15">
        <f>I17</f>
        <v/>
      </c>
    </row>
    <row r="18">
      <c r="A18" s="14">
        <f>參數!A32</f>
        <v/>
      </c>
      <c r="B18" s="8">
        <f>參數!B32</f>
        <v/>
      </c>
      <c r="C18" s="10">
        <f>參數!C32</f>
        <v/>
      </c>
      <c r="D18" s="15">
        <f>$B$12</f>
        <v/>
      </c>
      <c r="E18" s="15">
        <f>$B$13</f>
        <v/>
      </c>
      <c r="F18" s="15">
        <f>$B$11*B18</f>
        <v/>
      </c>
      <c r="G18" s="15">
        <f>D18+E18+F18</f>
        <v/>
      </c>
      <c r="H18" s="15">
        <f>$B$5*$B$6*C18</f>
        <v/>
      </c>
      <c r="I18" s="15">
        <f>H18-G18</f>
        <v/>
      </c>
      <c r="J18" s="15">
        <f>J17+I18</f>
        <v/>
      </c>
    </row>
    <row r="19">
      <c r="A19" s="14">
        <f>參數!A33</f>
        <v/>
      </c>
      <c r="B19" s="8">
        <f>參數!B33</f>
        <v/>
      </c>
      <c r="C19" s="10">
        <f>參數!C33</f>
        <v/>
      </c>
      <c r="D19" s="15">
        <f>$B$12</f>
        <v/>
      </c>
      <c r="E19" s="15">
        <f>$B$13</f>
        <v/>
      </c>
      <c r="F19" s="15">
        <f>$B$11*B19</f>
        <v/>
      </c>
      <c r="G19" s="15">
        <f>D19+E19+F19</f>
        <v/>
      </c>
      <c r="H19" s="15">
        <f>$B$5*$B$6*C19</f>
        <v/>
      </c>
      <c r="I19" s="15">
        <f>H19-G19</f>
        <v/>
      </c>
      <c r="J19" s="15">
        <f>J18+I19</f>
        <v/>
      </c>
    </row>
    <row r="20">
      <c r="A20" s="14">
        <f>參數!A34</f>
        <v/>
      </c>
      <c r="B20" s="8">
        <f>參數!B34</f>
        <v/>
      </c>
      <c r="C20" s="10">
        <f>參數!C34</f>
        <v/>
      </c>
      <c r="D20" s="15">
        <f>$B$12</f>
        <v/>
      </c>
      <c r="E20" s="15">
        <f>$B$13</f>
        <v/>
      </c>
      <c r="F20" s="15">
        <f>$B$11*B20</f>
        <v/>
      </c>
      <c r="G20" s="15">
        <f>D20+E20+F20</f>
        <v/>
      </c>
      <c r="H20" s="15">
        <f>$B$5*$B$6*C20</f>
        <v/>
      </c>
      <c r="I20" s="15">
        <f>H20-G20</f>
        <v/>
      </c>
      <c r="J20" s="15">
        <f>J19+I20</f>
        <v/>
      </c>
    </row>
    <row r="21">
      <c r="A21" s="14">
        <f>參數!A35</f>
        <v/>
      </c>
      <c r="B21" s="8">
        <f>參數!B35</f>
        <v/>
      </c>
      <c r="C21" s="10">
        <f>參數!C35</f>
        <v/>
      </c>
      <c r="D21" s="15">
        <f>$B$12</f>
        <v/>
      </c>
      <c r="E21" s="15">
        <f>$B$13</f>
        <v/>
      </c>
      <c r="F21" s="15">
        <f>$B$11*B21</f>
        <v/>
      </c>
      <c r="G21" s="15">
        <f>D21+E21+F21</f>
        <v/>
      </c>
      <c r="H21" s="15">
        <f>$B$5*$B$6*C21</f>
        <v/>
      </c>
      <c r="I21" s="15">
        <f>H21-G21</f>
        <v/>
      </c>
      <c r="J21" s="15">
        <f>J20+I21</f>
        <v/>
      </c>
    </row>
    <row r="22">
      <c r="A22" s="14">
        <f>參數!A36</f>
        <v/>
      </c>
      <c r="B22" s="8">
        <f>參數!B36</f>
        <v/>
      </c>
      <c r="C22" s="10">
        <f>參數!C36</f>
        <v/>
      </c>
      <c r="D22" s="15">
        <f>$B$12</f>
        <v/>
      </c>
      <c r="E22" s="15">
        <f>$B$13</f>
        <v/>
      </c>
      <c r="F22" s="15">
        <f>$B$11*B22</f>
        <v/>
      </c>
      <c r="G22" s="15">
        <f>D22+E22+F22</f>
        <v/>
      </c>
      <c r="H22" s="15">
        <f>$B$5*$B$6*C22</f>
        <v/>
      </c>
      <c r="I22" s="15">
        <f>H22-G22</f>
        <v/>
      </c>
      <c r="J22" s="15">
        <f>J21+I22</f>
        <v/>
      </c>
    </row>
    <row r="23">
      <c r="A23" s="14">
        <f>參數!A37</f>
        <v/>
      </c>
      <c r="B23" s="8">
        <f>參數!B37</f>
        <v/>
      </c>
      <c r="C23" s="10">
        <f>參數!C37</f>
        <v/>
      </c>
      <c r="D23" s="15">
        <f>$B$12</f>
        <v/>
      </c>
      <c r="E23" s="15">
        <f>$B$13</f>
        <v/>
      </c>
      <c r="F23" s="15">
        <f>$B$11*B23</f>
        <v/>
      </c>
      <c r="G23" s="15">
        <f>D23+E23+F23</f>
        <v/>
      </c>
      <c r="H23" s="15">
        <f>$B$5*$B$6*C23</f>
        <v/>
      </c>
      <c r="I23" s="15">
        <f>H23-G23</f>
        <v/>
      </c>
      <c r="J23" s="15">
        <f>J22+I23</f>
        <v/>
      </c>
    </row>
    <row r="24">
      <c r="A24" s="14">
        <f>參數!A38</f>
        <v/>
      </c>
      <c r="B24" s="8">
        <f>參數!B38</f>
        <v/>
      </c>
      <c r="C24" s="10">
        <f>參數!C38</f>
        <v/>
      </c>
      <c r="D24" s="15">
        <f>$B$12</f>
        <v/>
      </c>
      <c r="E24" s="15">
        <f>$B$13</f>
        <v/>
      </c>
      <c r="F24" s="15">
        <f>$B$11*B24</f>
        <v/>
      </c>
      <c r="G24" s="15">
        <f>D24+E24+F24</f>
        <v/>
      </c>
      <c r="H24" s="15">
        <f>$B$5*$B$6*C24</f>
        <v/>
      </c>
      <c r="I24" s="15">
        <f>H24-G24</f>
        <v/>
      </c>
      <c r="J24" s="15">
        <f>J23+I24</f>
        <v/>
      </c>
    </row>
    <row r="25">
      <c r="A25" s="14">
        <f>參數!A39</f>
        <v/>
      </c>
      <c r="B25" s="8">
        <f>參數!B39</f>
        <v/>
      </c>
      <c r="C25" s="10">
        <f>參數!C39</f>
        <v/>
      </c>
      <c r="D25" s="15">
        <f>$B$12</f>
        <v/>
      </c>
      <c r="E25" s="15">
        <f>$B$13</f>
        <v/>
      </c>
      <c r="F25" s="15">
        <f>$B$11*B25</f>
        <v/>
      </c>
      <c r="G25" s="15">
        <f>D25+E25+F25</f>
        <v/>
      </c>
      <c r="H25" s="15">
        <f>$B$5*$B$6*C25</f>
        <v/>
      </c>
      <c r="I25" s="15">
        <f>H25-G25</f>
        <v/>
      </c>
      <c r="J25" s="15">
        <f>J24+I25</f>
        <v/>
      </c>
    </row>
    <row r="26">
      <c r="A26" s="14">
        <f>參數!A40</f>
        <v/>
      </c>
      <c r="B26" s="8">
        <f>參數!B40</f>
        <v/>
      </c>
      <c r="C26" s="10">
        <f>參數!C40</f>
        <v/>
      </c>
      <c r="D26" s="15">
        <f>$B$12</f>
        <v/>
      </c>
      <c r="E26" s="15">
        <f>$B$13</f>
        <v/>
      </c>
      <c r="F26" s="15">
        <f>$B$11*B26</f>
        <v/>
      </c>
      <c r="G26" s="15">
        <f>D26+E26+F26</f>
        <v/>
      </c>
      <c r="H26" s="15">
        <f>$B$5*$B$6*C26</f>
        <v/>
      </c>
      <c r="I26" s="15">
        <f>H26-G26</f>
        <v/>
      </c>
      <c r="J26" s="15">
        <f>J25+I26</f>
        <v/>
      </c>
    </row>
    <row r="27">
      <c r="A27" s="16" t="inlineStr">
        <is>
          <t>學年合計</t>
        </is>
      </c>
      <c r="B27" s="17">
        <f>SUM(B17:B26)</f>
        <v/>
      </c>
      <c r="C27" s="18">
        <f>SUM(C17:C26)</f>
        <v/>
      </c>
      <c r="D27" s="19">
        <f>SUM(D17:D26)</f>
        <v/>
      </c>
      <c r="E27" s="19">
        <f>SUM(E17:E26)</f>
        <v/>
      </c>
      <c r="F27" s="19">
        <f>SUM(F17:F26)</f>
        <v/>
      </c>
      <c r="G27" s="19">
        <f>SUM(G17:G26)</f>
        <v/>
      </c>
      <c r="H27" s="19">
        <f>SUM(H17:H26)</f>
        <v/>
      </c>
      <c r="I27" s="19">
        <f>SUM(I17:I26)</f>
        <v/>
      </c>
      <c r="J27" s="19">
        <f>I27</f>
        <v/>
      </c>
    </row>
    <row r="29">
      <c r="A29" s="3" t="inlineStr">
        <is>
          <t>人數掃描（典型月：用參數頁「典型月平日」，學費全費）</t>
        </is>
      </c>
    </row>
    <row r="30">
      <c r="A30" s="11" t="inlineStr">
        <is>
          <t>人數</t>
        </is>
      </c>
      <c r="B30" s="11" t="inlineStr">
        <is>
          <t>資深</t>
        </is>
      </c>
      <c r="C30" s="11" t="inlineStr">
        <is>
          <t>普通</t>
        </is>
      </c>
      <c r="D30" s="11" t="inlineStr">
        <is>
          <t>PT每日</t>
        </is>
      </c>
      <c r="E30" s="11" t="inlineStr">
        <is>
          <t>典型月成本</t>
        </is>
      </c>
      <c r="F30" s="11" t="inlineStr">
        <is>
          <t>收入</t>
        </is>
      </c>
      <c r="G30" s="11" t="inlineStr">
        <is>
          <t>盈虧</t>
        </is>
      </c>
      <c r="H30" s="11" t="inlineStr">
        <is>
          <t>回本？</t>
        </is>
      </c>
    </row>
    <row r="31">
      <c r="A31" s="8" t="n">
        <v>0</v>
      </c>
      <c r="B31" s="8">
        <f>IF(A31&lt;=0,0,1)</f>
        <v/>
      </c>
      <c r="C31" s="8">
        <f>IF(OR(A31&lt;=0,$D$7&lt;=0),0,IF(A31&lt;=$B$7,0,ROUNDUP((A31-$B$7)/$D$7,0)))</f>
        <v/>
      </c>
      <c r="D31" s="15">
        <f>B31*參數!$B$20+C31*參數!$B$21</f>
        <v/>
      </c>
      <c r="E31" s="15">
        <f>$B$12+$B$13+D31*參數!$B$27</f>
        <v/>
      </c>
      <c r="F31" s="15">
        <f>A31*$B$6</f>
        <v/>
      </c>
      <c r="G31" s="15">
        <f>F31-E31</f>
        <v/>
      </c>
      <c r="H31" s="14">
        <f>IF(A31=0,"—",IF(G31&gt;=0,"回本","未回本"))</f>
        <v/>
      </c>
    </row>
    <row r="32">
      <c r="A32" s="8" t="n">
        <v>1</v>
      </c>
      <c r="B32" s="8">
        <f>IF(A32&lt;=0,0,1)</f>
        <v/>
      </c>
      <c r="C32" s="8">
        <f>IF(OR(A32&lt;=0,$D$7&lt;=0),0,IF(A32&lt;=$B$7,0,ROUNDUP((A32-$B$7)/$D$7,0)))</f>
        <v/>
      </c>
      <c r="D32" s="15">
        <f>B32*參數!$B$20+C32*參數!$B$21</f>
        <v/>
      </c>
      <c r="E32" s="15">
        <f>$B$12+$B$13+D32*參數!$B$27</f>
        <v/>
      </c>
      <c r="F32" s="15">
        <f>A32*$B$6</f>
        <v/>
      </c>
      <c r="G32" s="15">
        <f>F32-E32</f>
        <v/>
      </c>
      <c r="H32" s="14">
        <f>IF(A32=0,"—",IF(G32&gt;=0,"回本","未回本"))</f>
        <v/>
      </c>
    </row>
    <row r="33">
      <c r="A33" s="8" t="n">
        <v>2</v>
      </c>
      <c r="B33" s="8">
        <f>IF(A33&lt;=0,0,1)</f>
        <v/>
      </c>
      <c r="C33" s="8">
        <f>IF(OR(A33&lt;=0,$D$7&lt;=0),0,IF(A33&lt;=$B$7,0,ROUNDUP((A33-$B$7)/$D$7,0)))</f>
        <v/>
      </c>
      <c r="D33" s="15">
        <f>B33*參數!$B$20+C33*參數!$B$21</f>
        <v/>
      </c>
      <c r="E33" s="15">
        <f>$B$12+$B$13+D33*參數!$B$27</f>
        <v/>
      </c>
      <c r="F33" s="15">
        <f>A33*$B$6</f>
        <v/>
      </c>
      <c r="G33" s="15">
        <f>F33-E33</f>
        <v/>
      </c>
      <c r="H33" s="14">
        <f>IF(A33=0,"—",IF(G33&gt;=0,"回本","未回本"))</f>
        <v/>
      </c>
    </row>
    <row r="34">
      <c r="A34" s="8" t="n">
        <v>3</v>
      </c>
      <c r="B34" s="8">
        <f>IF(A34&lt;=0,0,1)</f>
        <v/>
      </c>
      <c r="C34" s="8">
        <f>IF(OR(A34&lt;=0,$D$7&lt;=0),0,IF(A34&lt;=$B$7,0,ROUNDUP((A34-$B$7)/$D$7,0)))</f>
        <v/>
      </c>
      <c r="D34" s="15">
        <f>B34*參數!$B$20+C34*參數!$B$21</f>
        <v/>
      </c>
      <c r="E34" s="15">
        <f>$B$12+$B$13+D34*參數!$B$27</f>
        <v/>
      </c>
      <c r="F34" s="15">
        <f>A34*$B$6</f>
        <v/>
      </c>
      <c r="G34" s="15">
        <f>F34-E34</f>
        <v/>
      </c>
      <c r="H34" s="14">
        <f>IF(A34=0,"—",IF(G34&gt;=0,"回本","未回本"))</f>
        <v/>
      </c>
    </row>
    <row r="35">
      <c r="A35" s="8" t="n">
        <v>4</v>
      </c>
      <c r="B35" s="8">
        <f>IF(A35&lt;=0,0,1)</f>
        <v/>
      </c>
      <c r="C35" s="8">
        <f>IF(OR(A35&lt;=0,$D$7&lt;=0),0,IF(A35&lt;=$B$7,0,ROUNDUP((A35-$B$7)/$D$7,0)))</f>
        <v/>
      </c>
      <c r="D35" s="15">
        <f>B35*參數!$B$20+C35*參數!$B$21</f>
        <v/>
      </c>
      <c r="E35" s="15">
        <f>$B$12+$B$13+D35*參數!$B$27</f>
        <v/>
      </c>
      <c r="F35" s="15">
        <f>A35*$B$6</f>
        <v/>
      </c>
      <c r="G35" s="15">
        <f>F35-E35</f>
        <v/>
      </c>
      <c r="H35" s="14">
        <f>IF(A35=0,"—",IF(G35&gt;=0,"回本","未回本"))</f>
        <v/>
      </c>
    </row>
    <row r="36">
      <c r="A36" s="8" t="n">
        <v>5</v>
      </c>
      <c r="B36" s="8">
        <f>IF(A36&lt;=0,0,1)</f>
        <v/>
      </c>
      <c r="C36" s="8">
        <f>IF(OR(A36&lt;=0,$D$7&lt;=0),0,IF(A36&lt;=$B$7,0,ROUNDUP((A36-$B$7)/$D$7,0)))</f>
        <v/>
      </c>
      <c r="D36" s="15">
        <f>B36*參數!$B$20+C36*參數!$B$21</f>
        <v/>
      </c>
      <c r="E36" s="15">
        <f>$B$12+$B$13+D36*參數!$B$27</f>
        <v/>
      </c>
      <c r="F36" s="15">
        <f>A36*$B$6</f>
        <v/>
      </c>
      <c r="G36" s="15">
        <f>F36-E36</f>
        <v/>
      </c>
      <c r="H36" s="14">
        <f>IF(A36=0,"—",IF(G36&gt;=0,"回本","未回本"))</f>
        <v/>
      </c>
    </row>
    <row r="37">
      <c r="A37" s="8" t="n">
        <v>6</v>
      </c>
      <c r="B37" s="8">
        <f>IF(A37&lt;=0,0,1)</f>
        <v/>
      </c>
      <c r="C37" s="8">
        <f>IF(OR(A37&lt;=0,$D$7&lt;=0),0,IF(A37&lt;=$B$7,0,ROUNDUP((A37-$B$7)/$D$7,0)))</f>
        <v/>
      </c>
      <c r="D37" s="15">
        <f>B37*參數!$B$20+C37*參數!$B$21</f>
        <v/>
      </c>
      <c r="E37" s="15">
        <f>$B$12+$B$13+D37*參數!$B$27</f>
        <v/>
      </c>
      <c r="F37" s="15">
        <f>A37*$B$6</f>
        <v/>
      </c>
      <c r="G37" s="15">
        <f>F37-E37</f>
        <v/>
      </c>
      <c r="H37" s="14">
        <f>IF(A37=0,"—",IF(G37&gt;=0,"回本","未回本"))</f>
        <v/>
      </c>
    </row>
    <row r="38">
      <c r="A38" s="8" t="n">
        <v>7</v>
      </c>
      <c r="B38" s="8">
        <f>IF(A38&lt;=0,0,1)</f>
        <v/>
      </c>
      <c r="C38" s="8">
        <f>IF(OR(A38&lt;=0,$D$7&lt;=0),0,IF(A38&lt;=$B$7,0,ROUNDUP((A38-$B$7)/$D$7,0)))</f>
        <v/>
      </c>
      <c r="D38" s="15">
        <f>B38*參數!$B$20+C38*參數!$B$21</f>
        <v/>
      </c>
      <c r="E38" s="15">
        <f>$B$12+$B$13+D38*參數!$B$27</f>
        <v/>
      </c>
      <c r="F38" s="15">
        <f>A38*$B$6</f>
        <v/>
      </c>
      <c r="G38" s="15">
        <f>F38-E38</f>
        <v/>
      </c>
      <c r="H38" s="14">
        <f>IF(A38=0,"—",IF(G38&gt;=0,"回本","未回本"))</f>
        <v/>
      </c>
    </row>
    <row r="39">
      <c r="A39" s="8" t="n">
        <v>8</v>
      </c>
      <c r="B39" s="8">
        <f>IF(A39&lt;=0,0,1)</f>
        <v/>
      </c>
      <c r="C39" s="8">
        <f>IF(OR(A39&lt;=0,$D$7&lt;=0),0,IF(A39&lt;=$B$7,0,ROUNDUP((A39-$B$7)/$D$7,0)))</f>
        <v/>
      </c>
      <c r="D39" s="15">
        <f>B39*參數!$B$20+C39*參數!$B$21</f>
        <v/>
      </c>
      <c r="E39" s="15">
        <f>$B$12+$B$13+D39*參數!$B$27</f>
        <v/>
      </c>
      <c r="F39" s="15">
        <f>A39*$B$6</f>
        <v/>
      </c>
      <c r="G39" s="15">
        <f>F39-E39</f>
        <v/>
      </c>
      <c r="H39" s="14">
        <f>IF(A39=0,"—",IF(G39&gt;=0,"回本","未回本"))</f>
        <v/>
      </c>
    </row>
    <row r="40">
      <c r="A40" s="8" t="n">
        <v>9</v>
      </c>
      <c r="B40" s="8">
        <f>IF(A40&lt;=0,0,1)</f>
        <v/>
      </c>
      <c r="C40" s="8">
        <f>IF(OR(A40&lt;=0,$D$7&lt;=0),0,IF(A40&lt;=$B$7,0,ROUNDUP((A40-$B$7)/$D$7,0)))</f>
        <v/>
      </c>
      <c r="D40" s="15">
        <f>B40*參數!$B$20+C40*參數!$B$21</f>
        <v/>
      </c>
      <c r="E40" s="15">
        <f>$B$12+$B$13+D40*參數!$B$27</f>
        <v/>
      </c>
      <c r="F40" s="15">
        <f>A40*$B$6</f>
        <v/>
      </c>
      <c r="G40" s="15">
        <f>F40-E40</f>
        <v/>
      </c>
      <c r="H40" s="14">
        <f>IF(A40=0,"—",IF(G40&gt;=0,"回本","未回本"))</f>
        <v/>
      </c>
    </row>
    <row r="41">
      <c r="A41" s="8" t="n">
        <v>10</v>
      </c>
      <c r="B41" s="8">
        <f>IF(A41&lt;=0,0,1)</f>
        <v/>
      </c>
      <c r="C41" s="8">
        <f>IF(OR(A41&lt;=0,$D$7&lt;=0),0,IF(A41&lt;=$B$7,0,ROUNDUP((A41-$B$7)/$D$7,0)))</f>
        <v/>
      </c>
      <c r="D41" s="15">
        <f>B41*參數!$B$20+C41*參數!$B$21</f>
        <v/>
      </c>
      <c r="E41" s="15">
        <f>$B$12+$B$13+D41*參數!$B$27</f>
        <v/>
      </c>
      <c r="F41" s="15">
        <f>A41*$B$6</f>
        <v/>
      </c>
      <c r="G41" s="15">
        <f>F41-E41</f>
        <v/>
      </c>
      <c r="H41" s="14">
        <f>IF(A41=0,"—",IF(G41&gt;=0,"回本","未回本"))</f>
        <v/>
      </c>
    </row>
    <row r="42">
      <c r="A42" s="8" t="n">
        <v>11</v>
      </c>
      <c r="B42" s="8">
        <f>IF(A42&lt;=0,0,1)</f>
        <v/>
      </c>
      <c r="C42" s="8">
        <f>IF(OR(A42&lt;=0,$D$7&lt;=0),0,IF(A42&lt;=$B$7,0,ROUNDUP((A42-$B$7)/$D$7,0)))</f>
        <v/>
      </c>
      <c r="D42" s="15">
        <f>B42*參數!$B$20+C42*參數!$B$21</f>
        <v/>
      </c>
      <c r="E42" s="15">
        <f>$B$12+$B$13+D42*參數!$B$27</f>
        <v/>
      </c>
      <c r="F42" s="15">
        <f>A42*$B$6</f>
        <v/>
      </c>
      <c r="G42" s="15">
        <f>F42-E42</f>
        <v/>
      </c>
      <c r="H42" s="14">
        <f>IF(A42=0,"—",IF(G42&gt;=0,"回本","未回本"))</f>
        <v/>
      </c>
    </row>
    <row r="43">
      <c r="A43" s="8" t="n">
        <v>12</v>
      </c>
      <c r="B43" s="8">
        <f>IF(A43&lt;=0,0,1)</f>
        <v/>
      </c>
      <c r="C43" s="8">
        <f>IF(OR(A43&lt;=0,$D$7&lt;=0),0,IF(A43&lt;=$B$7,0,ROUNDUP((A43-$B$7)/$D$7,0)))</f>
        <v/>
      </c>
      <c r="D43" s="15">
        <f>B43*參數!$B$20+C43*參數!$B$21</f>
        <v/>
      </c>
      <c r="E43" s="15">
        <f>$B$12+$B$13+D43*參數!$B$27</f>
        <v/>
      </c>
      <c r="F43" s="15">
        <f>A43*$B$6</f>
        <v/>
      </c>
      <c r="G43" s="15">
        <f>F43-E43</f>
        <v/>
      </c>
      <c r="H43" s="14">
        <f>IF(A43=0,"—",IF(G43&gt;=0,"回本","未回本"))</f>
        <v/>
      </c>
    </row>
    <row r="44">
      <c r="A44" s="8" t="n">
        <v>13</v>
      </c>
      <c r="B44" s="8">
        <f>IF(A44&lt;=0,0,1)</f>
        <v/>
      </c>
      <c r="C44" s="8">
        <f>IF(OR(A44&lt;=0,$D$7&lt;=0),0,IF(A44&lt;=$B$7,0,ROUNDUP((A44-$B$7)/$D$7,0)))</f>
        <v/>
      </c>
      <c r="D44" s="15">
        <f>B44*參數!$B$20+C44*參數!$B$21</f>
        <v/>
      </c>
      <c r="E44" s="15">
        <f>$B$12+$B$13+D44*參數!$B$27</f>
        <v/>
      </c>
      <c r="F44" s="15">
        <f>A44*$B$6</f>
        <v/>
      </c>
      <c r="G44" s="15">
        <f>F44-E44</f>
        <v/>
      </c>
      <c r="H44" s="14">
        <f>IF(A44=0,"—",IF(G44&gt;=0,"回本","未回本"))</f>
        <v/>
      </c>
    </row>
    <row r="45">
      <c r="A45" s="8" t="n">
        <v>14</v>
      </c>
      <c r="B45" s="8">
        <f>IF(A45&lt;=0,0,1)</f>
        <v/>
      </c>
      <c r="C45" s="8">
        <f>IF(OR(A45&lt;=0,$D$7&lt;=0),0,IF(A45&lt;=$B$7,0,ROUNDUP((A45-$B$7)/$D$7,0)))</f>
        <v/>
      </c>
      <c r="D45" s="15">
        <f>B45*參數!$B$20+C45*參數!$B$21</f>
        <v/>
      </c>
      <c r="E45" s="15">
        <f>$B$12+$B$13+D45*參數!$B$27</f>
        <v/>
      </c>
      <c r="F45" s="15">
        <f>A45*$B$6</f>
        <v/>
      </c>
      <c r="G45" s="15">
        <f>F45-E45</f>
        <v/>
      </c>
      <c r="H45" s="14">
        <f>IF(A45=0,"—",IF(G45&gt;=0,"回本","未回本"))</f>
        <v/>
      </c>
    </row>
    <row r="46">
      <c r="A46" s="8" t="n">
        <v>15</v>
      </c>
      <c r="B46" s="8">
        <f>IF(A46&lt;=0,0,1)</f>
        <v/>
      </c>
      <c r="C46" s="8">
        <f>IF(OR(A46&lt;=0,$D$7&lt;=0),0,IF(A46&lt;=$B$7,0,ROUNDUP((A46-$B$7)/$D$7,0)))</f>
        <v/>
      </c>
      <c r="D46" s="15">
        <f>B46*參數!$B$20+C46*參數!$B$21</f>
        <v/>
      </c>
      <c r="E46" s="15">
        <f>$B$12+$B$13+D46*參數!$B$27</f>
        <v/>
      </c>
      <c r="F46" s="15">
        <f>A46*$B$6</f>
        <v/>
      </c>
      <c r="G46" s="15">
        <f>F46-E46</f>
        <v/>
      </c>
      <c r="H46" s="14">
        <f>IF(A46=0,"—",IF(G46&gt;=0,"回本","未回本"))</f>
        <v/>
      </c>
    </row>
    <row r="47">
      <c r="A47" s="8" t="n">
        <v>16</v>
      </c>
      <c r="B47" s="8">
        <f>IF(A47&lt;=0,0,1)</f>
        <v/>
      </c>
      <c r="C47" s="8">
        <f>IF(OR(A47&lt;=0,$D$7&lt;=0),0,IF(A47&lt;=$B$7,0,ROUNDUP((A47-$B$7)/$D$7,0)))</f>
        <v/>
      </c>
      <c r="D47" s="15">
        <f>B47*參數!$B$20+C47*參數!$B$21</f>
        <v/>
      </c>
      <c r="E47" s="15">
        <f>$B$12+$B$13+D47*參數!$B$27</f>
        <v/>
      </c>
      <c r="F47" s="15">
        <f>A47*$B$6</f>
        <v/>
      </c>
      <c r="G47" s="15">
        <f>F47-E47</f>
        <v/>
      </c>
      <c r="H47" s="14">
        <f>IF(A47=0,"—",IF(G47&gt;=0,"回本","未回本"))</f>
        <v/>
      </c>
    </row>
    <row r="48">
      <c r="A48" s="8" t="n">
        <v>17</v>
      </c>
      <c r="B48" s="8">
        <f>IF(A48&lt;=0,0,1)</f>
        <v/>
      </c>
      <c r="C48" s="8">
        <f>IF(OR(A48&lt;=0,$D$7&lt;=0),0,IF(A48&lt;=$B$7,0,ROUNDUP((A48-$B$7)/$D$7,0)))</f>
        <v/>
      </c>
      <c r="D48" s="15">
        <f>B48*參數!$B$20+C48*參數!$B$21</f>
        <v/>
      </c>
      <c r="E48" s="15">
        <f>$B$12+$B$13+D48*參數!$B$27</f>
        <v/>
      </c>
      <c r="F48" s="15">
        <f>A48*$B$6</f>
        <v/>
      </c>
      <c r="G48" s="15">
        <f>F48-E48</f>
        <v/>
      </c>
      <c r="H48" s="14">
        <f>IF(A48=0,"—",IF(G48&gt;=0,"回本","未回本"))</f>
        <v/>
      </c>
    </row>
    <row r="49">
      <c r="A49" s="8" t="n">
        <v>18</v>
      </c>
      <c r="B49" s="8">
        <f>IF(A49&lt;=0,0,1)</f>
        <v/>
      </c>
      <c r="C49" s="8">
        <f>IF(OR(A49&lt;=0,$D$7&lt;=0),0,IF(A49&lt;=$B$7,0,ROUNDUP((A49-$B$7)/$D$7,0)))</f>
        <v/>
      </c>
      <c r="D49" s="15">
        <f>B49*參數!$B$20+C49*參數!$B$21</f>
        <v/>
      </c>
      <c r="E49" s="15">
        <f>$B$12+$B$13+D49*參數!$B$27</f>
        <v/>
      </c>
      <c r="F49" s="15">
        <f>A49*$B$6</f>
        <v/>
      </c>
      <c r="G49" s="15">
        <f>F49-E49</f>
        <v/>
      </c>
      <c r="H49" s="14">
        <f>IF(A49=0,"—",IF(G49&gt;=0,"回本","未回本"))</f>
        <v/>
      </c>
    </row>
    <row r="50">
      <c r="A50" s="8" t="n">
        <v>19</v>
      </c>
      <c r="B50" s="8">
        <f>IF(A50&lt;=0,0,1)</f>
        <v/>
      </c>
      <c r="C50" s="8">
        <f>IF(OR(A50&lt;=0,$D$7&lt;=0),0,IF(A50&lt;=$B$7,0,ROUNDUP((A50-$B$7)/$D$7,0)))</f>
        <v/>
      </c>
      <c r="D50" s="15">
        <f>B50*參數!$B$20+C50*參數!$B$21</f>
        <v/>
      </c>
      <c r="E50" s="15">
        <f>$B$12+$B$13+D50*參數!$B$27</f>
        <v/>
      </c>
      <c r="F50" s="15">
        <f>A50*$B$6</f>
        <v/>
      </c>
      <c r="G50" s="15">
        <f>F50-E50</f>
        <v/>
      </c>
      <c r="H50" s="14">
        <f>IF(A50=0,"—",IF(G50&gt;=0,"回本","未回本"))</f>
        <v/>
      </c>
    </row>
    <row r="51">
      <c r="A51" s="8" t="n">
        <v>20</v>
      </c>
      <c r="B51" s="8">
        <f>IF(A51&lt;=0,0,1)</f>
        <v/>
      </c>
      <c r="C51" s="8">
        <f>IF(OR(A51&lt;=0,$D$7&lt;=0),0,IF(A51&lt;=$B$7,0,ROUNDUP((A51-$B$7)/$D$7,0)))</f>
        <v/>
      </c>
      <c r="D51" s="15">
        <f>B51*參數!$B$20+C51*參數!$B$21</f>
        <v/>
      </c>
      <c r="E51" s="15">
        <f>$B$12+$B$13+D51*參數!$B$27</f>
        <v/>
      </c>
      <c r="F51" s="15">
        <f>A51*$B$6</f>
        <v/>
      </c>
      <c r="G51" s="15">
        <f>F51-E51</f>
        <v/>
      </c>
      <c r="H51" s="14">
        <f>IF(A51=0,"—",IF(G51&gt;=0,"回本","未回本"))</f>
        <v/>
      </c>
    </row>
    <row r="53">
      <c r="A53" t="inlineStr">
        <is>
          <t>現設定學年每人學費（已計 12／2 月折扣）</t>
        </is>
      </c>
      <c r="B53" s="6">
        <f>B6*參數!$B$43</f>
        <v/>
      </c>
    </row>
    <row r="54">
      <c r="A54" t="inlineStr">
        <is>
          <t>現設定學年收入</t>
        </is>
      </c>
      <c r="B54" s="15">
        <f>H27</f>
        <v/>
      </c>
    </row>
    <row r="55">
      <c r="A55" t="inlineStr">
        <is>
          <t>現設定學年成本</t>
        </is>
      </c>
      <c r="B55" s="15">
        <f>G27</f>
        <v/>
      </c>
    </row>
  </sheetData>
  <mergeCells count="4">
    <mergeCell ref="E7:J7"/>
    <mergeCell ref="A1:J1"/>
    <mergeCell ref="A29:H29"/>
    <mergeCell ref="A2:J2"/>
  </mergeCells>
  <conditionalFormatting sqref="I17:I27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G31:G51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A31:H51">
    <cfRule type="expression" priority="5" dxfId="2">
      <formula>$A31=$B$5</formula>
    </cfRule>
  </conditionalFormatting>
  <dataValidations count="1">
    <dataValidation sqref="B7 D7" showDropDown="0" showInputMessage="0" showErrorMessage="0" allowBlank="0" errorTitle="請輸入正整數" error="資深／普通每位應對學生須為 1 或以上。" promptTitle="每位應對" prompt="一位老師最多帶幾多學生（正整數）。" type="whole" operator="greaterThan">
      <formula1>0</formula1>
    </dataValidation>
  </dataValidation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5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中學功輔室回本</t>
        </is>
      </c>
    </row>
    <row r="2" ht="40" customHeight="1">
      <c r="A2" s="2" t="inlineStr">
        <is>
          <t>黃格可改。場地同 Katie 按「參數」頁分攤。中學編制：人數&gt;0 → ROUNDUP(人數/7,0) 位資深（1–7 一位，8–14 兩位）。 每月場地／Katie 不跟該月平日數加減；PT 跟該月平日 × 日薪。</t>
        </is>
      </c>
    </row>
    <row r="4">
      <c r="A4" s="3" t="inlineStr">
        <is>
          <t>輸入</t>
        </is>
      </c>
    </row>
    <row r="5">
      <c r="A5" t="inlineStr">
        <is>
          <t>人數</t>
        </is>
      </c>
      <c r="B5" s="7" t="n">
        <v>7</v>
      </c>
    </row>
    <row r="6">
      <c r="A6" t="inlineStr">
        <is>
          <t>月費（全費月份）</t>
        </is>
      </c>
      <c r="B6" s="5" t="n">
        <v>3200</v>
      </c>
      <c r="C6" t="inlineStr">
        <is>
          <t>12 月／2 月自動 × 參數頁學費比例</t>
        </is>
      </c>
    </row>
    <row r="8">
      <c r="A8" s="3" t="inlineStr">
        <is>
          <t>編制（公式）</t>
        </is>
      </c>
    </row>
    <row r="9">
      <c r="A9" t="inlineStr">
        <is>
          <t>資深老師</t>
        </is>
      </c>
      <c r="B9" s="8">
        <f>IF(B5&lt;=0,0,ROUNDUP(B5/7,0))</f>
        <v/>
      </c>
    </row>
    <row r="10">
      <c r="A10" t="inlineStr">
        <is>
          <t>普通老師</t>
        </is>
      </c>
      <c r="B10" s="8" t="n">
        <v>0</v>
      </c>
    </row>
    <row r="11">
      <c r="A11" t="inlineStr">
        <is>
          <t>PT 每日成本</t>
        </is>
      </c>
      <c r="B11" s="6">
        <f>B9*參數!$B$20+B10*參數!$B$21</f>
        <v/>
      </c>
    </row>
    <row r="12">
      <c r="A12" t="inlineStr">
        <is>
          <t>分攤場地／月</t>
        </is>
      </c>
      <c r="B12" s="6">
        <f>參數!$B$13*參數!$B$25</f>
        <v/>
      </c>
    </row>
    <row r="13">
      <c r="A13" t="inlineStr">
        <is>
          <t>分攤 Katie／月</t>
        </is>
      </c>
      <c r="B13" s="6">
        <f>參數!$B$19*參數!$B$25</f>
        <v/>
      </c>
    </row>
    <row r="15">
      <c r="A15" s="3" t="inlineStr">
        <is>
          <t>每月損益</t>
        </is>
      </c>
    </row>
    <row r="16">
      <c r="A16" s="11" t="inlineStr">
        <is>
          <t>月份</t>
        </is>
      </c>
      <c r="B16" s="11" t="inlineStr">
        <is>
          <t>平日</t>
        </is>
      </c>
      <c r="C16" s="11" t="inlineStr">
        <is>
          <t>學費比例</t>
        </is>
      </c>
      <c r="D16" s="11" t="inlineStr">
        <is>
          <t>場地</t>
        </is>
      </c>
      <c r="E16" s="11" t="inlineStr">
        <is>
          <t>Katie</t>
        </is>
      </c>
      <c r="F16" s="11" t="inlineStr">
        <is>
          <t>PT</t>
        </is>
      </c>
      <c r="G16" s="11" t="inlineStr">
        <is>
          <t>成本</t>
        </is>
      </c>
      <c r="H16" s="11" t="inlineStr">
        <is>
          <t>收入</t>
        </is>
      </c>
      <c r="I16" s="11" t="inlineStr">
        <is>
          <t>盈虧</t>
        </is>
      </c>
      <c r="J16" s="11" t="inlineStr">
        <is>
          <t>累計盈虧</t>
        </is>
      </c>
    </row>
    <row r="17">
      <c r="A17" s="14">
        <f>參數!A31</f>
        <v/>
      </c>
      <c r="B17" s="8">
        <f>參數!B31</f>
        <v/>
      </c>
      <c r="C17" s="10">
        <f>參數!C31</f>
        <v/>
      </c>
      <c r="D17" s="15">
        <f>$B$12</f>
        <v/>
      </c>
      <c r="E17" s="15">
        <f>$B$13</f>
        <v/>
      </c>
      <c r="F17" s="15">
        <f>$B$11*B17</f>
        <v/>
      </c>
      <c r="G17" s="15">
        <f>D17+E17+F17</f>
        <v/>
      </c>
      <c r="H17" s="15">
        <f>$B$5*$B$6*C17</f>
        <v/>
      </c>
      <c r="I17" s="15">
        <f>H17-G17</f>
        <v/>
      </c>
      <c r="J17" s="15">
        <f>I17</f>
        <v/>
      </c>
    </row>
    <row r="18">
      <c r="A18" s="14">
        <f>參數!A32</f>
        <v/>
      </c>
      <c r="B18" s="8">
        <f>參數!B32</f>
        <v/>
      </c>
      <c r="C18" s="10">
        <f>參數!C32</f>
        <v/>
      </c>
      <c r="D18" s="15">
        <f>$B$12</f>
        <v/>
      </c>
      <c r="E18" s="15">
        <f>$B$13</f>
        <v/>
      </c>
      <c r="F18" s="15">
        <f>$B$11*B18</f>
        <v/>
      </c>
      <c r="G18" s="15">
        <f>D18+E18+F18</f>
        <v/>
      </c>
      <c r="H18" s="15">
        <f>$B$5*$B$6*C18</f>
        <v/>
      </c>
      <c r="I18" s="15">
        <f>H18-G18</f>
        <v/>
      </c>
      <c r="J18" s="15">
        <f>J17+I18</f>
        <v/>
      </c>
    </row>
    <row r="19">
      <c r="A19" s="14">
        <f>參數!A33</f>
        <v/>
      </c>
      <c r="B19" s="8">
        <f>參數!B33</f>
        <v/>
      </c>
      <c r="C19" s="10">
        <f>參數!C33</f>
        <v/>
      </c>
      <c r="D19" s="15">
        <f>$B$12</f>
        <v/>
      </c>
      <c r="E19" s="15">
        <f>$B$13</f>
        <v/>
      </c>
      <c r="F19" s="15">
        <f>$B$11*B19</f>
        <v/>
      </c>
      <c r="G19" s="15">
        <f>D19+E19+F19</f>
        <v/>
      </c>
      <c r="H19" s="15">
        <f>$B$5*$B$6*C19</f>
        <v/>
      </c>
      <c r="I19" s="15">
        <f>H19-G19</f>
        <v/>
      </c>
      <c r="J19" s="15">
        <f>J18+I19</f>
        <v/>
      </c>
    </row>
    <row r="20">
      <c r="A20" s="14">
        <f>參數!A34</f>
        <v/>
      </c>
      <c r="B20" s="8">
        <f>參數!B34</f>
        <v/>
      </c>
      <c r="C20" s="10">
        <f>參數!C34</f>
        <v/>
      </c>
      <c r="D20" s="15">
        <f>$B$12</f>
        <v/>
      </c>
      <c r="E20" s="15">
        <f>$B$13</f>
        <v/>
      </c>
      <c r="F20" s="15">
        <f>$B$11*B20</f>
        <v/>
      </c>
      <c r="G20" s="15">
        <f>D20+E20+F20</f>
        <v/>
      </c>
      <c r="H20" s="15">
        <f>$B$5*$B$6*C20</f>
        <v/>
      </c>
      <c r="I20" s="15">
        <f>H20-G20</f>
        <v/>
      </c>
      <c r="J20" s="15">
        <f>J19+I20</f>
        <v/>
      </c>
    </row>
    <row r="21">
      <c r="A21" s="14">
        <f>參數!A35</f>
        <v/>
      </c>
      <c r="B21" s="8">
        <f>參數!B35</f>
        <v/>
      </c>
      <c r="C21" s="10">
        <f>參數!C35</f>
        <v/>
      </c>
      <c r="D21" s="15">
        <f>$B$12</f>
        <v/>
      </c>
      <c r="E21" s="15">
        <f>$B$13</f>
        <v/>
      </c>
      <c r="F21" s="15">
        <f>$B$11*B21</f>
        <v/>
      </c>
      <c r="G21" s="15">
        <f>D21+E21+F21</f>
        <v/>
      </c>
      <c r="H21" s="15">
        <f>$B$5*$B$6*C21</f>
        <v/>
      </c>
      <c r="I21" s="15">
        <f>H21-G21</f>
        <v/>
      </c>
      <c r="J21" s="15">
        <f>J20+I21</f>
        <v/>
      </c>
    </row>
    <row r="22">
      <c r="A22" s="14">
        <f>參數!A36</f>
        <v/>
      </c>
      <c r="B22" s="8">
        <f>參數!B36</f>
        <v/>
      </c>
      <c r="C22" s="10">
        <f>參數!C36</f>
        <v/>
      </c>
      <c r="D22" s="15">
        <f>$B$12</f>
        <v/>
      </c>
      <c r="E22" s="15">
        <f>$B$13</f>
        <v/>
      </c>
      <c r="F22" s="15">
        <f>$B$11*B22</f>
        <v/>
      </c>
      <c r="G22" s="15">
        <f>D22+E22+F22</f>
        <v/>
      </c>
      <c r="H22" s="15">
        <f>$B$5*$B$6*C22</f>
        <v/>
      </c>
      <c r="I22" s="15">
        <f>H22-G22</f>
        <v/>
      </c>
      <c r="J22" s="15">
        <f>J21+I22</f>
        <v/>
      </c>
    </row>
    <row r="23">
      <c r="A23" s="14">
        <f>參數!A37</f>
        <v/>
      </c>
      <c r="B23" s="8">
        <f>參數!B37</f>
        <v/>
      </c>
      <c r="C23" s="10">
        <f>參數!C37</f>
        <v/>
      </c>
      <c r="D23" s="15">
        <f>$B$12</f>
        <v/>
      </c>
      <c r="E23" s="15">
        <f>$B$13</f>
        <v/>
      </c>
      <c r="F23" s="15">
        <f>$B$11*B23</f>
        <v/>
      </c>
      <c r="G23" s="15">
        <f>D23+E23+F23</f>
        <v/>
      </c>
      <c r="H23" s="15">
        <f>$B$5*$B$6*C23</f>
        <v/>
      </c>
      <c r="I23" s="15">
        <f>H23-G23</f>
        <v/>
      </c>
      <c r="J23" s="15">
        <f>J22+I23</f>
        <v/>
      </c>
    </row>
    <row r="24">
      <c r="A24" s="14">
        <f>參數!A38</f>
        <v/>
      </c>
      <c r="B24" s="8">
        <f>參數!B38</f>
        <v/>
      </c>
      <c r="C24" s="10">
        <f>參數!C38</f>
        <v/>
      </c>
      <c r="D24" s="15">
        <f>$B$12</f>
        <v/>
      </c>
      <c r="E24" s="15">
        <f>$B$13</f>
        <v/>
      </c>
      <c r="F24" s="15">
        <f>$B$11*B24</f>
        <v/>
      </c>
      <c r="G24" s="15">
        <f>D24+E24+F24</f>
        <v/>
      </c>
      <c r="H24" s="15">
        <f>$B$5*$B$6*C24</f>
        <v/>
      </c>
      <c r="I24" s="15">
        <f>H24-G24</f>
        <v/>
      </c>
      <c r="J24" s="15">
        <f>J23+I24</f>
        <v/>
      </c>
    </row>
    <row r="25">
      <c r="A25" s="14">
        <f>參數!A39</f>
        <v/>
      </c>
      <c r="B25" s="8">
        <f>參數!B39</f>
        <v/>
      </c>
      <c r="C25" s="10">
        <f>參數!C39</f>
        <v/>
      </c>
      <c r="D25" s="15">
        <f>$B$12</f>
        <v/>
      </c>
      <c r="E25" s="15">
        <f>$B$13</f>
        <v/>
      </c>
      <c r="F25" s="15">
        <f>$B$11*B25</f>
        <v/>
      </c>
      <c r="G25" s="15">
        <f>D25+E25+F25</f>
        <v/>
      </c>
      <c r="H25" s="15">
        <f>$B$5*$B$6*C25</f>
        <v/>
      </c>
      <c r="I25" s="15">
        <f>H25-G25</f>
        <v/>
      </c>
      <c r="J25" s="15">
        <f>J24+I25</f>
        <v/>
      </c>
    </row>
    <row r="26">
      <c r="A26" s="14">
        <f>參數!A40</f>
        <v/>
      </c>
      <c r="B26" s="8">
        <f>參數!B40</f>
        <v/>
      </c>
      <c r="C26" s="10">
        <f>參數!C40</f>
        <v/>
      </c>
      <c r="D26" s="15">
        <f>$B$12</f>
        <v/>
      </c>
      <c r="E26" s="15">
        <f>$B$13</f>
        <v/>
      </c>
      <c r="F26" s="15">
        <f>$B$11*B26</f>
        <v/>
      </c>
      <c r="G26" s="15">
        <f>D26+E26+F26</f>
        <v/>
      </c>
      <c r="H26" s="15">
        <f>$B$5*$B$6*C26</f>
        <v/>
      </c>
      <c r="I26" s="15">
        <f>H26-G26</f>
        <v/>
      </c>
      <c r="J26" s="15">
        <f>J25+I26</f>
        <v/>
      </c>
    </row>
    <row r="27">
      <c r="A27" s="16" t="inlineStr">
        <is>
          <t>學年合計</t>
        </is>
      </c>
      <c r="B27" s="17">
        <f>SUM(B17:B26)</f>
        <v/>
      </c>
      <c r="C27" s="18">
        <f>SUM(C17:C26)</f>
        <v/>
      </c>
      <c r="D27" s="19">
        <f>SUM(D17:D26)</f>
        <v/>
      </c>
      <c r="E27" s="19">
        <f>SUM(E17:E26)</f>
        <v/>
      </c>
      <c r="F27" s="19">
        <f>SUM(F17:F26)</f>
        <v/>
      </c>
      <c r="G27" s="19">
        <f>SUM(G17:G26)</f>
        <v/>
      </c>
      <c r="H27" s="19">
        <f>SUM(H17:H26)</f>
        <v/>
      </c>
      <c r="I27" s="19">
        <f>SUM(I17:I26)</f>
        <v/>
      </c>
      <c r="J27" s="19">
        <f>I27</f>
        <v/>
      </c>
    </row>
    <row r="29">
      <c r="A29" s="3" t="inlineStr">
        <is>
          <t>人數掃描（典型月：用參數頁「典型月平日」，學費全費）</t>
        </is>
      </c>
    </row>
    <row r="30">
      <c r="A30" s="11" t="inlineStr">
        <is>
          <t>人數</t>
        </is>
      </c>
      <c r="B30" s="11" t="inlineStr">
        <is>
          <t>資深</t>
        </is>
      </c>
      <c r="C30" s="11" t="inlineStr">
        <is>
          <t>普通</t>
        </is>
      </c>
      <c r="D30" s="11" t="inlineStr">
        <is>
          <t>PT每日</t>
        </is>
      </c>
      <c r="E30" s="11" t="inlineStr">
        <is>
          <t>典型月成本</t>
        </is>
      </c>
      <c r="F30" s="11" t="inlineStr">
        <is>
          <t>收入</t>
        </is>
      </c>
      <c r="G30" s="11" t="inlineStr">
        <is>
          <t>盈虧</t>
        </is>
      </c>
      <c r="H30" s="11" t="inlineStr">
        <is>
          <t>回本？</t>
        </is>
      </c>
    </row>
    <row r="31">
      <c r="A31" s="8" t="n">
        <v>0</v>
      </c>
      <c r="B31" s="8">
        <f>IF(A31&lt;=0,0,ROUNDUP(A31/7,0))</f>
        <v/>
      </c>
      <c r="C31" s="8" t="n">
        <v>0</v>
      </c>
      <c r="D31" s="15">
        <f>B31*參數!$B$20+C31*參數!$B$21</f>
        <v/>
      </c>
      <c r="E31" s="15">
        <f>$B$12+$B$13+D31*參數!$B$27</f>
        <v/>
      </c>
      <c r="F31" s="15">
        <f>A31*$B$6</f>
        <v/>
      </c>
      <c r="G31" s="15">
        <f>F31-E31</f>
        <v/>
      </c>
      <c r="H31" s="14">
        <f>IF(A31=0,"—",IF(G31&gt;=0,"回本","未回本"))</f>
        <v/>
      </c>
    </row>
    <row r="32">
      <c r="A32" s="8" t="n">
        <v>1</v>
      </c>
      <c r="B32" s="8">
        <f>IF(A32&lt;=0,0,ROUNDUP(A32/7,0))</f>
        <v/>
      </c>
      <c r="C32" s="8" t="n">
        <v>0</v>
      </c>
      <c r="D32" s="15">
        <f>B32*參數!$B$20+C32*參數!$B$21</f>
        <v/>
      </c>
      <c r="E32" s="15">
        <f>$B$12+$B$13+D32*參數!$B$27</f>
        <v/>
      </c>
      <c r="F32" s="15">
        <f>A32*$B$6</f>
        <v/>
      </c>
      <c r="G32" s="15">
        <f>F32-E32</f>
        <v/>
      </c>
      <c r="H32" s="14">
        <f>IF(A32=0,"—",IF(G32&gt;=0,"回本","未回本"))</f>
        <v/>
      </c>
    </row>
    <row r="33">
      <c r="A33" s="8" t="n">
        <v>2</v>
      </c>
      <c r="B33" s="8">
        <f>IF(A33&lt;=0,0,ROUNDUP(A33/7,0))</f>
        <v/>
      </c>
      <c r="C33" s="8" t="n">
        <v>0</v>
      </c>
      <c r="D33" s="15">
        <f>B33*參數!$B$20+C33*參數!$B$21</f>
        <v/>
      </c>
      <c r="E33" s="15">
        <f>$B$12+$B$13+D33*參數!$B$27</f>
        <v/>
      </c>
      <c r="F33" s="15">
        <f>A33*$B$6</f>
        <v/>
      </c>
      <c r="G33" s="15">
        <f>F33-E33</f>
        <v/>
      </c>
      <c r="H33" s="14">
        <f>IF(A33=0,"—",IF(G33&gt;=0,"回本","未回本"))</f>
        <v/>
      </c>
    </row>
    <row r="34">
      <c r="A34" s="8" t="n">
        <v>3</v>
      </c>
      <c r="B34" s="8">
        <f>IF(A34&lt;=0,0,ROUNDUP(A34/7,0))</f>
        <v/>
      </c>
      <c r="C34" s="8" t="n">
        <v>0</v>
      </c>
      <c r="D34" s="15">
        <f>B34*參數!$B$20+C34*參數!$B$21</f>
        <v/>
      </c>
      <c r="E34" s="15">
        <f>$B$12+$B$13+D34*參數!$B$27</f>
        <v/>
      </c>
      <c r="F34" s="15">
        <f>A34*$B$6</f>
        <v/>
      </c>
      <c r="G34" s="15">
        <f>F34-E34</f>
        <v/>
      </c>
      <c r="H34" s="14">
        <f>IF(A34=0,"—",IF(G34&gt;=0,"回本","未回本"))</f>
        <v/>
      </c>
    </row>
    <row r="35">
      <c r="A35" s="8" t="n">
        <v>4</v>
      </c>
      <c r="B35" s="8">
        <f>IF(A35&lt;=0,0,ROUNDUP(A35/7,0))</f>
        <v/>
      </c>
      <c r="C35" s="8" t="n">
        <v>0</v>
      </c>
      <c r="D35" s="15">
        <f>B35*參數!$B$20+C35*參數!$B$21</f>
        <v/>
      </c>
      <c r="E35" s="15">
        <f>$B$12+$B$13+D35*參數!$B$27</f>
        <v/>
      </c>
      <c r="F35" s="15">
        <f>A35*$B$6</f>
        <v/>
      </c>
      <c r="G35" s="15">
        <f>F35-E35</f>
        <v/>
      </c>
      <c r="H35" s="14">
        <f>IF(A35=0,"—",IF(G35&gt;=0,"回本","未回本"))</f>
        <v/>
      </c>
    </row>
    <row r="36">
      <c r="A36" s="8" t="n">
        <v>5</v>
      </c>
      <c r="B36" s="8">
        <f>IF(A36&lt;=0,0,ROUNDUP(A36/7,0))</f>
        <v/>
      </c>
      <c r="C36" s="8" t="n">
        <v>0</v>
      </c>
      <c r="D36" s="15">
        <f>B36*參數!$B$20+C36*參數!$B$21</f>
        <v/>
      </c>
      <c r="E36" s="15">
        <f>$B$12+$B$13+D36*參數!$B$27</f>
        <v/>
      </c>
      <c r="F36" s="15">
        <f>A36*$B$6</f>
        <v/>
      </c>
      <c r="G36" s="15">
        <f>F36-E36</f>
        <v/>
      </c>
      <c r="H36" s="14">
        <f>IF(A36=0,"—",IF(G36&gt;=0,"回本","未回本"))</f>
        <v/>
      </c>
    </row>
    <row r="37">
      <c r="A37" s="8" t="n">
        <v>6</v>
      </c>
      <c r="B37" s="8">
        <f>IF(A37&lt;=0,0,ROUNDUP(A37/7,0))</f>
        <v/>
      </c>
      <c r="C37" s="8" t="n">
        <v>0</v>
      </c>
      <c r="D37" s="15">
        <f>B37*參數!$B$20+C37*參數!$B$21</f>
        <v/>
      </c>
      <c r="E37" s="15">
        <f>$B$12+$B$13+D37*參數!$B$27</f>
        <v/>
      </c>
      <c r="F37" s="15">
        <f>A37*$B$6</f>
        <v/>
      </c>
      <c r="G37" s="15">
        <f>F37-E37</f>
        <v/>
      </c>
      <c r="H37" s="14">
        <f>IF(A37=0,"—",IF(G37&gt;=0,"回本","未回本"))</f>
        <v/>
      </c>
    </row>
    <row r="38">
      <c r="A38" s="8" t="n">
        <v>7</v>
      </c>
      <c r="B38" s="8">
        <f>IF(A38&lt;=0,0,ROUNDUP(A38/7,0))</f>
        <v/>
      </c>
      <c r="C38" s="8" t="n">
        <v>0</v>
      </c>
      <c r="D38" s="15">
        <f>B38*參數!$B$20+C38*參數!$B$21</f>
        <v/>
      </c>
      <c r="E38" s="15">
        <f>$B$12+$B$13+D38*參數!$B$27</f>
        <v/>
      </c>
      <c r="F38" s="15">
        <f>A38*$B$6</f>
        <v/>
      </c>
      <c r="G38" s="15">
        <f>F38-E38</f>
        <v/>
      </c>
      <c r="H38" s="14">
        <f>IF(A38=0,"—",IF(G38&gt;=0,"回本","未回本"))</f>
        <v/>
      </c>
    </row>
    <row r="39">
      <c r="A39" s="8" t="n">
        <v>8</v>
      </c>
      <c r="B39" s="8">
        <f>IF(A39&lt;=0,0,ROUNDUP(A39/7,0))</f>
        <v/>
      </c>
      <c r="C39" s="8" t="n">
        <v>0</v>
      </c>
      <c r="D39" s="15">
        <f>B39*參數!$B$20+C39*參數!$B$21</f>
        <v/>
      </c>
      <c r="E39" s="15">
        <f>$B$12+$B$13+D39*參數!$B$27</f>
        <v/>
      </c>
      <c r="F39" s="15">
        <f>A39*$B$6</f>
        <v/>
      </c>
      <c r="G39" s="15">
        <f>F39-E39</f>
        <v/>
      </c>
      <c r="H39" s="14">
        <f>IF(A39=0,"—",IF(G39&gt;=0,"回本","未回本"))</f>
        <v/>
      </c>
    </row>
    <row r="40">
      <c r="A40" s="8" t="n">
        <v>9</v>
      </c>
      <c r="B40" s="8">
        <f>IF(A40&lt;=0,0,ROUNDUP(A40/7,0))</f>
        <v/>
      </c>
      <c r="C40" s="8" t="n">
        <v>0</v>
      </c>
      <c r="D40" s="15">
        <f>B40*參數!$B$20+C40*參數!$B$21</f>
        <v/>
      </c>
      <c r="E40" s="15">
        <f>$B$12+$B$13+D40*參數!$B$27</f>
        <v/>
      </c>
      <c r="F40" s="15">
        <f>A40*$B$6</f>
        <v/>
      </c>
      <c r="G40" s="15">
        <f>F40-E40</f>
        <v/>
      </c>
      <c r="H40" s="14">
        <f>IF(A40=0,"—",IF(G40&gt;=0,"回本","未回本"))</f>
        <v/>
      </c>
    </row>
    <row r="41">
      <c r="A41" s="8" t="n">
        <v>10</v>
      </c>
      <c r="B41" s="8">
        <f>IF(A41&lt;=0,0,ROUNDUP(A41/7,0))</f>
        <v/>
      </c>
      <c r="C41" s="8" t="n">
        <v>0</v>
      </c>
      <c r="D41" s="15">
        <f>B41*參數!$B$20+C41*參數!$B$21</f>
        <v/>
      </c>
      <c r="E41" s="15">
        <f>$B$12+$B$13+D41*參數!$B$27</f>
        <v/>
      </c>
      <c r="F41" s="15">
        <f>A41*$B$6</f>
        <v/>
      </c>
      <c r="G41" s="15">
        <f>F41-E41</f>
        <v/>
      </c>
      <c r="H41" s="14">
        <f>IF(A41=0,"—",IF(G41&gt;=0,"回本","未回本"))</f>
        <v/>
      </c>
    </row>
    <row r="42">
      <c r="A42" s="8" t="n">
        <v>11</v>
      </c>
      <c r="B42" s="8">
        <f>IF(A42&lt;=0,0,ROUNDUP(A42/7,0))</f>
        <v/>
      </c>
      <c r="C42" s="8" t="n">
        <v>0</v>
      </c>
      <c r="D42" s="15">
        <f>B42*參數!$B$20+C42*參數!$B$21</f>
        <v/>
      </c>
      <c r="E42" s="15">
        <f>$B$12+$B$13+D42*參數!$B$27</f>
        <v/>
      </c>
      <c r="F42" s="15">
        <f>A42*$B$6</f>
        <v/>
      </c>
      <c r="G42" s="15">
        <f>F42-E42</f>
        <v/>
      </c>
      <c r="H42" s="14">
        <f>IF(A42=0,"—",IF(G42&gt;=0,"回本","未回本"))</f>
        <v/>
      </c>
    </row>
    <row r="43">
      <c r="A43" s="8" t="n">
        <v>12</v>
      </c>
      <c r="B43" s="8">
        <f>IF(A43&lt;=0,0,ROUNDUP(A43/7,0))</f>
        <v/>
      </c>
      <c r="C43" s="8" t="n">
        <v>0</v>
      </c>
      <c r="D43" s="15">
        <f>B43*參數!$B$20+C43*參數!$B$21</f>
        <v/>
      </c>
      <c r="E43" s="15">
        <f>$B$12+$B$13+D43*參數!$B$27</f>
        <v/>
      </c>
      <c r="F43" s="15">
        <f>A43*$B$6</f>
        <v/>
      </c>
      <c r="G43" s="15">
        <f>F43-E43</f>
        <v/>
      </c>
      <c r="H43" s="14">
        <f>IF(A43=0,"—",IF(G43&gt;=0,"回本","未回本"))</f>
        <v/>
      </c>
    </row>
    <row r="44">
      <c r="A44" s="8" t="n">
        <v>13</v>
      </c>
      <c r="B44" s="8">
        <f>IF(A44&lt;=0,0,ROUNDUP(A44/7,0))</f>
        <v/>
      </c>
      <c r="C44" s="8" t="n">
        <v>0</v>
      </c>
      <c r="D44" s="15">
        <f>B44*參數!$B$20+C44*參數!$B$21</f>
        <v/>
      </c>
      <c r="E44" s="15">
        <f>$B$12+$B$13+D44*參數!$B$27</f>
        <v/>
      </c>
      <c r="F44" s="15">
        <f>A44*$B$6</f>
        <v/>
      </c>
      <c r="G44" s="15">
        <f>F44-E44</f>
        <v/>
      </c>
      <c r="H44" s="14">
        <f>IF(A44=0,"—",IF(G44&gt;=0,"回本","未回本"))</f>
        <v/>
      </c>
    </row>
    <row r="45">
      <c r="A45" s="8" t="n">
        <v>14</v>
      </c>
      <c r="B45" s="8">
        <f>IF(A45&lt;=0,0,ROUNDUP(A45/7,0))</f>
        <v/>
      </c>
      <c r="C45" s="8" t="n">
        <v>0</v>
      </c>
      <c r="D45" s="15">
        <f>B45*參數!$B$20+C45*參數!$B$21</f>
        <v/>
      </c>
      <c r="E45" s="15">
        <f>$B$12+$B$13+D45*參數!$B$27</f>
        <v/>
      </c>
      <c r="F45" s="15">
        <f>A45*$B$6</f>
        <v/>
      </c>
      <c r="G45" s="15">
        <f>F45-E45</f>
        <v/>
      </c>
      <c r="H45" s="14">
        <f>IF(A45=0,"—",IF(G45&gt;=0,"回本","未回本"))</f>
        <v/>
      </c>
    </row>
    <row r="46">
      <c r="A46" s="8" t="n">
        <v>15</v>
      </c>
      <c r="B46" s="8">
        <f>IF(A46&lt;=0,0,ROUNDUP(A46/7,0))</f>
        <v/>
      </c>
      <c r="C46" s="8" t="n">
        <v>0</v>
      </c>
      <c r="D46" s="15">
        <f>B46*參數!$B$20+C46*參數!$B$21</f>
        <v/>
      </c>
      <c r="E46" s="15">
        <f>$B$12+$B$13+D46*參數!$B$27</f>
        <v/>
      </c>
      <c r="F46" s="15">
        <f>A46*$B$6</f>
        <v/>
      </c>
      <c r="G46" s="15">
        <f>F46-E46</f>
        <v/>
      </c>
      <c r="H46" s="14">
        <f>IF(A46=0,"—",IF(G46&gt;=0,"回本","未回本"))</f>
        <v/>
      </c>
    </row>
    <row r="47">
      <c r="A47" s="8" t="n">
        <v>16</v>
      </c>
      <c r="B47" s="8">
        <f>IF(A47&lt;=0,0,ROUNDUP(A47/7,0))</f>
        <v/>
      </c>
      <c r="C47" s="8" t="n">
        <v>0</v>
      </c>
      <c r="D47" s="15">
        <f>B47*參數!$B$20+C47*參數!$B$21</f>
        <v/>
      </c>
      <c r="E47" s="15">
        <f>$B$12+$B$13+D47*參數!$B$27</f>
        <v/>
      </c>
      <c r="F47" s="15">
        <f>A47*$B$6</f>
        <v/>
      </c>
      <c r="G47" s="15">
        <f>F47-E47</f>
        <v/>
      </c>
      <c r="H47" s="14">
        <f>IF(A47=0,"—",IF(G47&gt;=0,"回本","未回本"))</f>
        <v/>
      </c>
    </row>
    <row r="48">
      <c r="A48" s="8" t="n">
        <v>17</v>
      </c>
      <c r="B48" s="8">
        <f>IF(A48&lt;=0,0,ROUNDUP(A48/7,0))</f>
        <v/>
      </c>
      <c r="C48" s="8" t="n">
        <v>0</v>
      </c>
      <c r="D48" s="15">
        <f>B48*參數!$B$20+C48*參數!$B$21</f>
        <v/>
      </c>
      <c r="E48" s="15">
        <f>$B$12+$B$13+D48*參數!$B$27</f>
        <v/>
      </c>
      <c r="F48" s="15">
        <f>A48*$B$6</f>
        <v/>
      </c>
      <c r="G48" s="15">
        <f>F48-E48</f>
        <v/>
      </c>
      <c r="H48" s="14">
        <f>IF(A48=0,"—",IF(G48&gt;=0,"回本","未回本"))</f>
        <v/>
      </c>
    </row>
    <row r="49">
      <c r="A49" s="8" t="n">
        <v>18</v>
      </c>
      <c r="B49" s="8">
        <f>IF(A49&lt;=0,0,ROUNDUP(A49/7,0))</f>
        <v/>
      </c>
      <c r="C49" s="8" t="n">
        <v>0</v>
      </c>
      <c r="D49" s="15">
        <f>B49*參數!$B$20+C49*參數!$B$21</f>
        <v/>
      </c>
      <c r="E49" s="15">
        <f>$B$12+$B$13+D49*參數!$B$27</f>
        <v/>
      </c>
      <c r="F49" s="15">
        <f>A49*$B$6</f>
        <v/>
      </c>
      <c r="G49" s="15">
        <f>F49-E49</f>
        <v/>
      </c>
      <c r="H49" s="14">
        <f>IF(A49=0,"—",IF(G49&gt;=0,"回本","未回本"))</f>
        <v/>
      </c>
    </row>
    <row r="50">
      <c r="A50" s="8" t="n">
        <v>19</v>
      </c>
      <c r="B50" s="8">
        <f>IF(A50&lt;=0,0,ROUNDUP(A50/7,0))</f>
        <v/>
      </c>
      <c r="C50" s="8" t="n">
        <v>0</v>
      </c>
      <c r="D50" s="15">
        <f>B50*參數!$B$20+C50*參數!$B$21</f>
        <v/>
      </c>
      <c r="E50" s="15">
        <f>$B$12+$B$13+D50*參數!$B$27</f>
        <v/>
      </c>
      <c r="F50" s="15">
        <f>A50*$B$6</f>
        <v/>
      </c>
      <c r="G50" s="15">
        <f>F50-E50</f>
        <v/>
      </c>
      <c r="H50" s="14">
        <f>IF(A50=0,"—",IF(G50&gt;=0,"回本","未回本"))</f>
        <v/>
      </c>
    </row>
    <row r="51">
      <c r="A51" s="8" t="n">
        <v>20</v>
      </c>
      <c r="B51" s="8">
        <f>IF(A51&lt;=0,0,ROUNDUP(A51/7,0))</f>
        <v/>
      </c>
      <c r="C51" s="8" t="n">
        <v>0</v>
      </c>
      <c r="D51" s="15">
        <f>B51*參數!$B$20+C51*參數!$B$21</f>
        <v/>
      </c>
      <c r="E51" s="15">
        <f>$B$12+$B$13+D51*參數!$B$27</f>
        <v/>
      </c>
      <c r="F51" s="15">
        <f>A51*$B$6</f>
        <v/>
      </c>
      <c r="G51" s="15">
        <f>F51-E51</f>
        <v/>
      </c>
      <c r="H51" s="14">
        <f>IF(A51=0,"—",IF(G51&gt;=0,"回本","未回本"))</f>
        <v/>
      </c>
    </row>
    <row r="53">
      <c r="A53" t="inlineStr">
        <is>
          <t>現設定學年每人學費（已計 12／2 月折扣）</t>
        </is>
      </c>
      <c r="B53" s="6">
        <f>B6*參數!$B$43</f>
        <v/>
      </c>
    </row>
    <row r="54">
      <c r="A54" t="inlineStr">
        <is>
          <t>現設定學年收入</t>
        </is>
      </c>
      <c r="B54" s="15">
        <f>H27</f>
        <v/>
      </c>
    </row>
    <row r="55">
      <c r="A55" t="inlineStr">
        <is>
          <t>現設定學年成本</t>
        </is>
      </c>
      <c r="B55" s="15">
        <f>G27</f>
        <v/>
      </c>
    </row>
  </sheetData>
  <mergeCells count="3">
    <mergeCell ref="A1:J1"/>
    <mergeCell ref="A29:H29"/>
    <mergeCell ref="A2:J2"/>
  </mergeCells>
  <conditionalFormatting sqref="I17:I27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G31:G51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A31:H51">
    <cfRule type="expression" priority="5" dxfId="2">
      <formula>$A31=$B$5</formula>
    </cfRule>
  </conditionalFormatting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2026-08-23T18:48:12Z</dcterms:created>
  <dcterms:modified xmlns:dcterms="http://purl.org/dc/terms/" xmlns:xsi="http://www.w3.org/2001/XMLSchema-instance" xsi:type="dcterms:W3CDTF">2026-08-23T18:48:12Z</dcterms:modified>
</cp:coreProperties>
</file>