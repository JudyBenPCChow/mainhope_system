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heduhk.sharepoint.com/sites/MainHopeEducation/Shared Documents/Accounting/26-27 會計年度/"/>
    </mc:Choice>
  </mc:AlternateContent>
  <xr:revisionPtr revIDLastSave="5328" documentId="109_{BE028EA9-915C-564A-ACB1-73971D9B7B3D}" xr6:coauthVersionLast="47" xr6:coauthVersionMax="47" xr10:uidLastSave="{53991EAB-7354-6F45-8152-BC623E10DF25}"/>
  <bookViews>
    <workbookView xWindow="2800" yWindow="1020" windowWidth="17160" windowHeight="15180" activeTab="3" xr2:uid="{00F8BC03-DC7B-8F4A-B462-F6A0429F9AA8}"/>
  </bookViews>
  <sheets>
    <sheet name="APR 04" sheetId="31" r:id="rId1"/>
    <sheet name="MAY 05" sheetId="32" r:id="rId2"/>
    <sheet name="JUN 06" sheetId="33" r:id="rId3"/>
    <sheet name="JUL 07" sheetId="34" r:id="rId4"/>
    <sheet name="AUG 08" sheetId="35" r:id="rId5"/>
    <sheet name="25 成本導師薪金" sheetId="5" r:id="rId6"/>
    <sheet name="Cash Boook" sheetId="17" r:id="rId7"/>
    <sheet name="25 成本教材" sheetId="9" r:id="rId8"/>
    <sheet name=" 25 總分類帳" sheetId="10" r:id="rId9"/>
    <sheet name="清單名稱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0" l="1"/>
  <c r="D21" i="10"/>
  <c r="E21" i="10"/>
  <c r="F21" i="10"/>
  <c r="G21" i="10"/>
  <c r="H21" i="10"/>
  <c r="I21" i="10"/>
  <c r="J21" i="10"/>
  <c r="K21" i="10"/>
  <c r="L21" i="10"/>
  <c r="M21" i="10"/>
  <c r="B21" i="10"/>
  <c r="C9" i="10"/>
  <c r="D9" i="10"/>
  <c r="E9" i="10"/>
  <c r="F9" i="10"/>
  <c r="G9" i="10"/>
  <c r="H9" i="10"/>
  <c r="I9" i="10"/>
  <c r="J9" i="10"/>
  <c r="K9" i="10"/>
  <c r="L9" i="10"/>
  <c r="M9" i="10"/>
  <c r="B9" i="10"/>
  <c r="F18" i="9"/>
  <c r="E18" i="9"/>
  <c r="D18" i="9"/>
  <c r="C18" i="9"/>
  <c r="B18" i="9"/>
  <c r="H15" i="9"/>
  <c r="H14" i="9"/>
  <c r="H13" i="9"/>
  <c r="H12" i="9"/>
  <c r="H11" i="9"/>
  <c r="H10" i="9"/>
  <c r="H9" i="9"/>
  <c r="H8" i="9"/>
  <c r="H7" i="9"/>
  <c r="H6" i="9"/>
  <c r="H5" i="9"/>
  <c r="H4" i="9"/>
  <c r="H12" i="5"/>
  <c r="H14" i="5"/>
  <c r="H4" i="5"/>
  <c r="H5" i="5"/>
  <c r="H6" i="5"/>
  <c r="H7" i="5"/>
  <c r="H8" i="5"/>
  <c r="H9" i="5"/>
  <c r="H10" i="5"/>
  <c r="H11" i="5"/>
  <c r="H13" i="5"/>
  <c r="H3" i="5"/>
  <c r="C17" i="5"/>
  <c r="D17" i="5"/>
  <c r="E17" i="5"/>
  <c r="F17" i="5"/>
  <c r="B17" i="5"/>
  <c r="K23" i="10"/>
  <c r="C23" i="10"/>
  <c r="D23" i="10"/>
  <c r="H23" i="10"/>
  <c r="G23" i="10"/>
  <c r="J23" i="10"/>
  <c r="B23" i="10"/>
  <c r="E23" i="10"/>
  <c r="L23" i="10"/>
  <c r="F23" i="10"/>
  <c r="I23" i="10"/>
  <c r="M23" i="10"/>
</calcChain>
</file>

<file path=xl/sharedStrings.xml><?xml version="1.0" encoding="utf-8"?>
<sst xmlns="http://schemas.openxmlformats.org/spreadsheetml/2006/main" count="610" uniqueCount="211">
  <si>
    <t>日期</t>
    <phoneticPr fontId="1" type="noConversion"/>
  </si>
  <si>
    <t>項目名</t>
    <phoneticPr fontId="1" type="noConversion"/>
  </si>
  <si>
    <t>負責人</t>
    <phoneticPr fontId="1" type="noConversion"/>
  </si>
  <si>
    <t>單據名稱</t>
    <phoneticPr fontId="1" type="noConversion"/>
  </si>
  <si>
    <t>轉至 分類帳</t>
    <phoneticPr fontId="1" type="noConversion"/>
  </si>
  <si>
    <t>中文科</t>
    <phoneticPr fontId="1" type="noConversion"/>
  </si>
  <si>
    <t>英文科</t>
    <phoneticPr fontId="1" type="noConversion"/>
  </si>
  <si>
    <t>數學科</t>
    <phoneticPr fontId="1" type="noConversion"/>
  </si>
  <si>
    <t>理科</t>
    <phoneticPr fontId="1" type="noConversion"/>
  </si>
  <si>
    <t>功輔班</t>
    <phoneticPr fontId="1" type="noConversion"/>
  </si>
  <si>
    <t>當月總人工</t>
    <phoneticPr fontId="1" type="noConversion"/>
  </si>
  <si>
    <t>科目總人工</t>
    <phoneticPr fontId="1" type="noConversion"/>
  </si>
  <si>
    <t>當月總成本</t>
    <phoneticPr fontId="1" type="noConversion"/>
  </si>
  <si>
    <t>科目總成本</t>
    <phoneticPr fontId="1" type="noConversion"/>
  </si>
  <si>
    <t>成本 - 導師薪金</t>
  </si>
  <si>
    <t>成本 - 導師薪金(強積金）</t>
  </si>
  <si>
    <t>成本 - 教材</t>
  </si>
  <si>
    <t>成本 - 其他直接成本</t>
  </si>
  <si>
    <t>費用 - 租金及管理費</t>
  </si>
  <si>
    <t>費用 - 上網或電話費</t>
  </si>
  <si>
    <t>費用 - 文具雜物</t>
  </si>
  <si>
    <t>費用 - 其他費用</t>
  </si>
  <si>
    <t>費用 - 電費</t>
  </si>
  <si>
    <t>費用 - 保險</t>
  </si>
  <si>
    <t>費用 - 清潔費</t>
  </si>
  <si>
    <t>費用 - 傢俱</t>
  </si>
  <si>
    <t>費用 - 牌照及營運相關</t>
  </si>
  <si>
    <t>成本 - 筆記印刷</t>
    <phoneticPr fontId="1" type="noConversion"/>
  </si>
  <si>
    <t>直接成本</t>
    <phoneticPr fontId="1" type="noConversion"/>
  </si>
  <si>
    <t>間接費用</t>
    <phoneticPr fontId="1" type="noConversion"/>
  </si>
  <si>
    <t>總開支(B9+B21)</t>
    <phoneticPr fontId="1" type="noConversion"/>
  </si>
  <si>
    <t>金額</t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</si>
  <si>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導師薪金</t>
    </r>
    <r>
      <rPr>
        <sz val="10"/>
        <color theme="1"/>
        <rFont val="Arial"/>
        <family val="2"/>
      </rPr>
      <t>(</t>
    </r>
    <r>
      <rPr>
        <sz val="12"/>
        <color theme="1"/>
        <rFont val="新細明體"/>
        <family val="2"/>
        <charset val="136"/>
        <scheme val="minor"/>
      </rPr>
      <t>強積金）</t>
    </r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</si>
  <si>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其他直接成本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</si>
  <si>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租金及管理費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</si>
  <si>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上網或電話費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</si>
  <si>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文具雜物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</si>
  <si>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其他費用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</si>
  <si>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電費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</si>
  <si>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保險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</si>
  <si>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清潔費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</si>
  <si>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傢俱</t>
    </r>
  </si>
  <si>
    <r>
      <t>費用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牌照及營運相關</t>
    </r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</si>
  <si>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筆記印刷</t>
    </r>
    <phoneticPr fontId="1" type="noConversion"/>
  </si>
  <si>
    <t>付款方式</t>
    <phoneticPr fontId="1" type="noConversion"/>
  </si>
  <si>
    <t>支付方式</t>
    <phoneticPr fontId="1" type="noConversion"/>
  </si>
  <si>
    <t>銀行</t>
    <phoneticPr fontId="1" type="noConversion"/>
  </si>
  <si>
    <t>現金</t>
    <phoneticPr fontId="1" type="noConversion"/>
  </si>
  <si>
    <t>分類帳名</t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</si>
  <si>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導師薪金（中文科）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</si>
  <si>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導師薪金（英文科）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</si>
  <si>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導師薪金（數學科）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</si>
  <si>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導師薪金（理科）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</si>
  <si>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>導師薪金（功輔科）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</si>
  <si>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 xml:space="preserve"> 教材（中文科）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</si>
  <si>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 xml:space="preserve"> 教材（英文科）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</si>
  <si>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 xml:space="preserve"> 教材（數學科）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</si>
  <si>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 xml:space="preserve"> 教材（理科）</t>
    </r>
    <phoneticPr fontId="1" type="noConversion"/>
  </si>
  <si>
    <r>
      <t>成本</t>
    </r>
    <r>
      <rPr>
        <sz val="10"/>
        <color theme="1"/>
        <rFont val="Arial"/>
        <family val="2"/>
      </rPr>
      <t xml:space="preserve"> - </t>
    </r>
    <r>
      <rPr>
        <sz val="12"/>
        <color theme="1"/>
        <rFont val="新細明體"/>
        <family val="2"/>
        <charset val="136"/>
        <scheme val="minor"/>
      </rPr>
      <t xml:space="preserve"> 教材（功輔科）</t>
    </r>
    <phoneticPr fontId="1" type="noConversion"/>
  </si>
  <si>
    <t>銀行</t>
  </si>
  <si>
    <t>現金</t>
  </si>
  <si>
    <t>CASH BOX</t>
    <phoneticPr fontId="1" type="noConversion"/>
  </si>
  <si>
    <t>余sir</t>
    <phoneticPr fontId="1" type="noConversion"/>
  </si>
  <si>
    <t xml:space="preserve">Dr. = Increase </t>
    <phoneticPr fontId="1" type="noConversion"/>
  </si>
  <si>
    <t xml:space="preserve">Cr. = Decrease </t>
    <phoneticPr fontId="1" type="noConversion"/>
  </si>
  <si>
    <t>$</t>
    <phoneticPr fontId="1" type="noConversion"/>
  </si>
  <si>
    <t xml:space="preserve">Cash Book </t>
    <phoneticPr fontId="1" type="noConversion"/>
  </si>
  <si>
    <t xml:space="preserve">Date </t>
    <phoneticPr fontId="1" type="noConversion"/>
  </si>
  <si>
    <t xml:space="preserve">Details </t>
    <phoneticPr fontId="1" type="noConversion"/>
  </si>
  <si>
    <t>CASH BOX</t>
  </si>
  <si>
    <t>Mark</t>
    <phoneticPr fontId="1" type="noConversion"/>
  </si>
  <si>
    <t>Mark</t>
  </si>
  <si>
    <t>11號舖租金管理費</t>
  </si>
  <si>
    <t>17k號舖租金管理費</t>
    <phoneticPr fontId="1" type="noConversion"/>
  </si>
  <si>
    <t>HCG 17K 寬頻上網月費</t>
    <phoneticPr fontId="1" type="noConversion"/>
  </si>
  <si>
    <t xml:space="preserve">HCG 11舖 寬頻上網月費 </t>
  </si>
  <si>
    <t>清潔人工x4次</t>
  </si>
  <si>
    <t>Yu Xiao Jin (Sophie) 3月前台人工</t>
    <phoneticPr fontId="1" type="noConversion"/>
  </si>
  <si>
    <t>Leung Hong Ching (Annie) 3月功課班及行政人工</t>
    <phoneticPr fontId="1" type="noConversion"/>
  </si>
  <si>
    <t>Fan Wing Lam (Carol) 3月前台人工</t>
    <phoneticPr fontId="1" type="noConversion"/>
  </si>
  <si>
    <t>Shek Ho Ching (Billy) 3月專科班人工</t>
    <phoneticPr fontId="1" type="noConversion"/>
  </si>
  <si>
    <t>Ng Man Wai (Cheryl) 3月功課班人工</t>
    <phoneticPr fontId="1" type="noConversion"/>
  </si>
  <si>
    <t>Cheong Tsz Lam (Cody) 3月前台人工</t>
    <phoneticPr fontId="1" type="noConversion"/>
  </si>
  <si>
    <t>Ng Tsz Ching (Cyndi) 3月專科班人工</t>
    <phoneticPr fontId="1" type="noConversion"/>
  </si>
  <si>
    <t>Wong Hing Ho (Henry) 3月功課班人工</t>
    <phoneticPr fontId="1" type="noConversion"/>
  </si>
  <si>
    <t>Fok Wing Tung (Erika) 3月功課班人工 1st part</t>
    <phoneticPr fontId="1" type="noConversion"/>
  </si>
  <si>
    <t>Fok Wing Tung (Erika) 3月功課班人工  2nd part</t>
    <phoneticPr fontId="1" type="noConversion"/>
  </si>
  <si>
    <t>Chu Hiu Ching (Judy) 3月專科班人工</t>
    <phoneticPr fontId="1" type="noConversion"/>
  </si>
  <si>
    <t>Li Ki Chung (Kenneth) 3月功課班人工</t>
    <phoneticPr fontId="1" type="noConversion"/>
  </si>
  <si>
    <t>Lai Ka Hung (Liam) 3月專科班及功課班人工</t>
    <phoneticPr fontId="1" type="noConversion"/>
  </si>
  <si>
    <t>Kwok Wai Lam (Natalie) 3月專科班人工</t>
    <phoneticPr fontId="1" type="noConversion"/>
  </si>
  <si>
    <t>Ling Yat Sum (Rafael) 3月專科班人工</t>
    <phoneticPr fontId="1" type="noConversion"/>
  </si>
  <si>
    <t>Cheung Chun Kai (Tim) 3月專科班人工</t>
    <phoneticPr fontId="1" type="noConversion"/>
  </si>
  <si>
    <t>Chan Sze Wing (Wing) 3月功課班人工</t>
    <phoneticPr fontId="1" type="noConversion"/>
  </si>
  <si>
    <t>Lau Chat Shing (Jackson) 3月專科班人工</t>
    <phoneticPr fontId="1" type="noConversion"/>
  </si>
  <si>
    <t>內地還款</t>
    <phoneticPr fontId="1" type="noConversion"/>
  </si>
  <si>
    <t>Kwok Nam Kwun (Rain) 3月功課班人工 1st part</t>
    <phoneticPr fontId="1" type="noConversion"/>
  </si>
  <si>
    <t>Kwok Nam Kwun (Rain) 3月功課班人工 2nd part</t>
    <phoneticPr fontId="1" type="noConversion"/>
  </si>
  <si>
    <t>Yu Ka Hei (Mark) 3月專科班人工 2nd part ($13570人民幣)</t>
    <phoneticPr fontId="1" type="noConversion"/>
  </si>
  <si>
    <t>Fan Hoi Ying (Christine) 3月專科班人工 2nd part ($8560人民幣)</t>
    <phoneticPr fontId="1" type="noConversion"/>
  </si>
  <si>
    <t>Kwok Ka Ying (Diana) 3月功課班行政人工</t>
    <phoneticPr fontId="1" type="noConversion"/>
  </si>
  <si>
    <t>Tam Yu Ching (Pheobe) 3月專科班功課班人工</t>
    <phoneticPr fontId="1" type="noConversion"/>
  </si>
  <si>
    <t>3月mpf供款</t>
  </si>
  <si>
    <t>Cheong Chung Kee (Thom) 3月專科班人工 2nd part</t>
  </si>
  <si>
    <t>Adobe subscription Christine</t>
  </si>
  <si>
    <t>Adobe subscription Mark</t>
  </si>
  <si>
    <t>Zoom subscription</t>
  </si>
  <si>
    <t>HCG 電話費</t>
  </si>
  <si>
    <t>Lo Shiu Fei (Charlie) 3月功課班人工</t>
    <phoneticPr fontId="1" type="noConversion"/>
  </si>
  <si>
    <t>Canon Printer費用</t>
    <phoneticPr fontId="1" type="noConversion"/>
  </si>
  <si>
    <t>寬頻手提電話費</t>
    <phoneticPr fontId="1" type="noConversion"/>
  </si>
  <si>
    <t>余sir</t>
  </si>
  <si>
    <t>Yu Ka Hei (Mark) 4月專科班人工 1st part</t>
    <phoneticPr fontId="1" type="noConversion"/>
  </si>
  <si>
    <t>Fan Hoi Ying (Christine) 4月專科班人工1st part</t>
  </si>
  <si>
    <t>11號舖電費</t>
    <phoneticPr fontId="1" type="noConversion"/>
  </si>
  <si>
    <t>Yu Xiao Jin (Sophie) 4月前台人工</t>
    <phoneticPr fontId="1" type="noConversion"/>
  </si>
  <si>
    <t>Fan Wing Lam (Carol) 4月前台人工</t>
    <phoneticPr fontId="1" type="noConversion"/>
  </si>
  <si>
    <t>Leung Hong Ching (Annie) 4月功課班人工</t>
    <phoneticPr fontId="1" type="noConversion"/>
  </si>
  <si>
    <t>Shek Ho Ching (Billy) 4月專科班人工</t>
    <phoneticPr fontId="1" type="noConversion"/>
  </si>
  <si>
    <t>Ng Man Wai (Cheryl) 4月功課班人工</t>
    <phoneticPr fontId="1" type="noConversion"/>
  </si>
  <si>
    <t>Cheong Tsz Lam (Cody) 4月前台人工</t>
    <phoneticPr fontId="1" type="noConversion"/>
  </si>
  <si>
    <t>Ng Tsz Ching (Cyndi) 4月專科班人工</t>
    <phoneticPr fontId="1" type="noConversion"/>
  </si>
  <si>
    <t>Fung Yat Hong (Donald) 4月功課班人工</t>
    <phoneticPr fontId="1" type="noConversion"/>
  </si>
  <si>
    <t>Lau Chat Shing (Jackson) 4月專科班人工</t>
    <phoneticPr fontId="1" type="noConversion"/>
  </si>
  <si>
    <t>Fok Wing Tung (Erika) 4月功課班人工</t>
    <phoneticPr fontId="1" type="noConversion"/>
  </si>
  <si>
    <t>Chu Hiu Ching (Judy) 4月專科班人工</t>
    <phoneticPr fontId="1" type="noConversion"/>
  </si>
  <si>
    <t>Li Ki Chung (Kenneth) 4月功課班人工</t>
    <phoneticPr fontId="1" type="noConversion"/>
  </si>
  <si>
    <t>Lai Ka Hung (Liam) 4月專科班及功課班人工</t>
    <phoneticPr fontId="1" type="noConversion"/>
  </si>
  <si>
    <t>Kwok Wai Lam (Natalie) 4月專科班人工</t>
    <phoneticPr fontId="1" type="noConversion"/>
  </si>
  <si>
    <t>Ling Yat Sum (Rafael) 4月專科班人工</t>
    <phoneticPr fontId="1" type="noConversion"/>
  </si>
  <si>
    <t>Tam Yu Ching (Pheobe) 4月專科班功課班人工</t>
    <phoneticPr fontId="1" type="noConversion"/>
  </si>
  <si>
    <t>Cheong Chung Kee (Thom) 3月專科班人工1st part</t>
    <phoneticPr fontId="1" type="noConversion"/>
  </si>
  <si>
    <t>Kwok Nam Kwun (Rain) 4月功課班人工</t>
    <phoneticPr fontId="1" type="noConversion"/>
  </si>
  <si>
    <t>Cheong Chung Kee (Thom) 4月專科班人工</t>
    <phoneticPr fontId="1" type="noConversion"/>
  </si>
  <si>
    <t>Cheung Chun Kai (Tim) 4月專科班人工</t>
    <phoneticPr fontId="1" type="noConversion"/>
  </si>
  <si>
    <t>Yu Ka Hei (Mark) 4月專科班人工 2nd part</t>
    <phoneticPr fontId="1" type="noConversion"/>
  </si>
  <si>
    <t>A4紙10箱，A3紙2箱，Memo紙2盒</t>
  </si>
  <si>
    <t>2025年11月mpf供款附加費</t>
    <phoneticPr fontId="1" type="noConversion"/>
  </si>
  <si>
    <t>mpf 4月供款</t>
    <phoneticPr fontId="1" type="noConversion"/>
  </si>
  <si>
    <t>Fan Hoi Ying (Christine) 4月專科班人工 2nd part (人民幣 $15000）</t>
    <phoneticPr fontId="1" type="noConversion"/>
  </si>
  <si>
    <t>Fan Hoi Ying (Christine) 4月專科班人工 3rd part</t>
    <phoneticPr fontId="1" type="noConversion"/>
  </si>
  <si>
    <t>17k 電費</t>
  </si>
  <si>
    <t>11號舖電費</t>
  </si>
  <si>
    <t>Canon Printer費用</t>
  </si>
  <si>
    <t>Microsoft subscription</t>
    <phoneticPr fontId="1" type="noConversion"/>
  </si>
  <si>
    <t>AVG 防毒軟件subscription</t>
    <phoneticPr fontId="1" type="noConversion"/>
  </si>
  <si>
    <t>Fan Hoi Ying (Christine) 5月專科班人工1st part</t>
    <phoneticPr fontId="1" type="noConversion"/>
  </si>
  <si>
    <t>綠悠軒17D/E 租金按金</t>
  </si>
  <si>
    <t>創業鳥 雇主報稅表費用</t>
  </si>
  <si>
    <t>Yu Xiao Jin (Sophie) 5月前台人工</t>
    <phoneticPr fontId="1" type="noConversion"/>
  </si>
  <si>
    <t>Fan Wing Lam (Carol) 5月前台人工</t>
    <phoneticPr fontId="1" type="noConversion"/>
  </si>
  <si>
    <t>Leung Hong Ching (Annie) 5月功課班人工</t>
    <phoneticPr fontId="1" type="noConversion"/>
  </si>
  <si>
    <t>Shek Ho Ching (Billy) 5月專科班人工</t>
    <phoneticPr fontId="1" type="noConversion"/>
  </si>
  <si>
    <t>Ng Man Wai (Cheryl) 5月功課班人工</t>
    <phoneticPr fontId="1" type="noConversion"/>
  </si>
  <si>
    <t>Cheong Tsz Lam (Cody) 5月前台人工</t>
    <phoneticPr fontId="1" type="noConversion"/>
  </si>
  <si>
    <t>Ng Tsz Ching (Cyndi) 5月專科班人工</t>
    <phoneticPr fontId="1" type="noConversion"/>
  </si>
  <si>
    <t>Fung Yat Hong (Donald) 5月功課班人工</t>
    <phoneticPr fontId="1" type="noConversion"/>
  </si>
  <si>
    <t>Lau Chat Shing (Jackson) 5月專科班人工</t>
    <phoneticPr fontId="1" type="noConversion"/>
  </si>
  <si>
    <t>Chu Hiu Ching (Judy) 5月專科班人工</t>
    <phoneticPr fontId="1" type="noConversion"/>
  </si>
  <si>
    <t>Li Ki Chung (Kenneth) 5月功課班人工</t>
    <phoneticPr fontId="1" type="noConversion"/>
  </si>
  <si>
    <t>Lai Ka Hung (Liam) 5月專科班及功課班人工</t>
    <phoneticPr fontId="1" type="noConversion"/>
  </si>
  <si>
    <t>Kwok Wai Lam (Natalie) 5月專科班人工</t>
    <phoneticPr fontId="1" type="noConversion"/>
  </si>
  <si>
    <t>Tam Yu Ching (Pheobe) 5月專科班功課班人工</t>
    <phoneticPr fontId="1" type="noConversion"/>
  </si>
  <si>
    <t>Ling Yat Sum (Rafael) 5月專科班人工</t>
    <phoneticPr fontId="1" type="noConversion"/>
  </si>
  <si>
    <t>Kwok Nam Kwun (Rain) 5月功課班人工</t>
    <phoneticPr fontId="1" type="noConversion"/>
  </si>
  <si>
    <t>Cheong Chung Kee (Thom) 5月專科班人工</t>
    <phoneticPr fontId="1" type="noConversion"/>
  </si>
  <si>
    <t>Cheung Chun Kai (Tim) 5月專科班人工</t>
    <phoneticPr fontId="1" type="noConversion"/>
  </si>
  <si>
    <t xml:space="preserve">Yu Ka Hei (Mark) 5月專科班人工 </t>
    <phoneticPr fontId="1" type="noConversion"/>
  </si>
  <si>
    <t>Lee Pak Hei (Jeffrey) 5月功課班人工</t>
    <phoneticPr fontId="1" type="noConversion"/>
  </si>
  <si>
    <t>Tam Chung King (Ken) 5月功課班人工</t>
    <phoneticPr fontId="1" type="noConversion"/>
  </si>
  <si>
    <t>Chan Cheuk Yin (Leo) 5月功課班人工</t>
    <phoneticPr fontId="1" type="noConversion"/>
  </si>
  <si>
    <t>Kwok Ka Ying (Diana) 5月功課班行政人工</t>
    <phoneticPr fontId="1" type="noConversion"/>
  </si>
  <si>
    <t>Fan Hoi Ying (Christine) 5月專科班人工 2nd part</t>
    <phoneticPr fontId="1" type="noConversion"/>
  </si>
  <si>
    <t>mpf 5月供款</t>
  </si>
  <si>
    <t>Tam Yu Ching (Pheobe) 5月專科班功課班人工 2nd part</t>
  </si>
  <si>
    <t>Ng Man Wai (Cheryl) 5月專科班人工</t>
  </si>
  <si>
    <t>Audit銀行查詢費用</t>
  </si>
  <si>
    <t>Mark 6月人工1st Part</t>
  </si>
  <si>
    <t>清潔人工x8</t>
  </si>
  <si>
    <t>Mark 6月人工2nd Part</t>
  </si>
  <si>
    <t>Yu Xiao Jin (Sophie) 6月前台人工</t>
  </si>
  <si>
    <t>HCG 17K 寬頻上網月費</t>
  </si>
  <si>
    <t>綠悠軒17CD 按金及上期租金</t>
  </si>
  <si>
    <t>Fan Wing Lam (Carol) 6月前台人工</t>
  </si>
  <si>
    <t>Leung Hong Ching (Annie) 6月功課班人工</t>
  </si>
  <si>
    <t>Shek Ho Ching (Billy) 6月專科班人工</t>
  </si>
  <si>
    <t>Ng Man Wai (Cheryl) 6月功課班人工</t>
  </si>
  <si>
    <t>Cheong Tsz Lam (Cody) 6月我前台人工</t>
  </si>
  <si>
    <t>Ng Tsz Ching (Cyndi) 6月專科班人工</t>
  </si>
  <si>
    <t>Lau Chat Shing (Jackson) 6月專科班人工</t>
  </si>
  <si>
    <t>Fok Wing Tung (Erika) 6月功課班人工</t>
  </si>
  <si>
    <t>Lee Pak Hei (Jeffrey) 6月功課班人工</t>
  </si>
  <si>
    <t>Chu Hiu Ching (Judy) 6月專科班人工</t>
  </si>
  <si>
    <t>Tam Chung King (Ken) 6月功課班人工</t>
  </si>
  <si>
    <t>Li Ki Chung (Kenneth) 6月功課班人工</t>
  </si>
  <si>
    <t>Chan Cheuk Yin (Leo) 6月功課班人工</t>
  </si>
  <si>
    <t>Lai Ka Hung (Liam) 6月專科班及功課班人工</t>
  </si>
  <si>
    <t>Kwok Wai Lam (Natalie) 6月專科班人工</t>
  </si>
  <si>
    <t>Tam Yu Ching (Pheobe) 6月專科班功課班人工</t>
  </si>
  <si>
    <t>Ling Yat Sum (Rafael) 6月專科班人工</t>
  </si>
  <si>
    <t>Kwok Nam Kwun (Rain) 6月功課班人工</t>
  </si>
  <si>
    <t>Cheong Chung Kee (Thom) 6月專科班人工</t>
  </si>
  <si>
    <t>Cheung Chun Kai (Tim) 6月專科班人工</t>
  </si>
  <si>
    <t>mpf 6月供款</t>
  </si>
  <si>
    <t>Fan Hoi Ying (Christine) 6月專科班人工</t>
  </si>
  <si>
    <t>Cheong Chung Kee (Thom) 6月專科班人工2nd part</t>
  </si>
  <si>
    <t>Lai Ka Hung (Liam) 6月專科班及功課班人工2nd part</t>
  </si>
  <si>
    <t>Returned cheque charge</t>
    <phoneticPr fontId="1" type="noConversion"/>
  </si>
  <si>
    <t>MDC WEB BlueHost.com</t>
    <phoneticPr fontId="1" type="noConversion"/>
  </si>
  <si>
    <t>17k號舖租金管理費</t>
  </si>
  <si>
    <t xml:space="preserve">Cursor AI Power subscription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</si>
</sst>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HK$&quot;#,##0.00_);[Red]\(&quot;HK$&quot;#,##0.00\)"/>
    <numFmt numFmtId="176" formatCode="[$HK$-C04]#,##0.00_);[Red]\([$HK$-C04]#,##0.00\)"/>
  </numFmts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  <font>
      <sz val="10"/>
      <color theme="1"/>
      <name val="Microsoft YaHei"/>
      <family val="2"/>
      <charset val="134"/>
    </font>
    <font>
      <sz val="12"/>
      <color theme="1"/>
      <name val="Microsoft YaHei"/>
      <family val="2"/>
      <charset val="134"/>
    </font>
    <font>
      <sz val="12"/>
      <color theme="1"/>
      <name val="新細明體"/>
      <family val="1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YaHei"/>
      <family val="2"/>
    </font>
    <font>
      <sz val="12"/>
      <color theme="1"/>
      <name val="新細明體"/>
      <family val="1"/>
      <scheme val="major"/>
    </font>
    <font>
      <sz val="10"/>
      <color theme="1"/>
      <name val="Microsoft JhengHei"/>
      <family val="2"/>
      <charset val="136"/>
    </font>
    <font>
      <sz val="10"/>
      <color theme="1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7" fontId="0" fillId="0" borderId="0" xfId="0" applyNumberFormat="1">
      <alignment vertical="center"/>
    </xf>
    <xf numFmtId="0" fontId="0" fillId="0" borderId="2" xfId="0" applyBorder="1">
      <alignment vertical="center"/>
    </xf>
    <xf numFmtId="14" fontId="0" fillId="0" borderId="0" xfId="0" applyNumberFormat="1">
      <alignment vertical="center"/>
    </xf>
    <xf numFmtId="0" fontId="0" fillId="2" borderId="3" xfId="0" applyFill="1" applyBorder="1">
      <alignment vertical="center"/>
    </xf>
    <xf numFmtId="0" fontId="0" fillId="0" borderId="3" xfId="0" applyBorder="1">
      <alignment vertical="center"/>
    </xf>
    <xf numFmtId="8" fontId="2" fillId="0" borderId="0" xfId="0" applyNumberFormat="1" applyFont="1">
      <alignment vertical="center"/>
    </xf>
    <xf numFmtId="0" fontId="0" fillId="3" borderId="0" xfId="0" applyFill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14" fontId="5" fillId="0" borderId="0" xfId="0" applyNumberFormat="1" applyFont="1">
      <alignment vertical="center"/>
    </xf>
    <xf numFmtId="0" fontId="6" fillId="0" borderId="8" xfId="0" applyFont="1" applyBorder="1">
      <alignment vertical="center"/>
    </xf>
    <xf numFmtId="8" fontId="0" fillId="0" borderId="2" xfId="0" applyNumberFormat="1" applyBorder="1" applyAlignment="1">
      <alignment horizontal="right" vertical="center"/>
    </xf>
    <xf numFmtId="8" fontId="4" fillId="0" borderId="0" xfId="0" applyNumberFormat="1" applyFont="1" applyAlignment="1">
      <alignment horizontal="right" vertical="center"/>
    </xf>
    <xf numFmtId="8" fontId="0" fillId="0" borderId="0" xfId="0" applyNumberFormat="1" applyAlignment="1">
      <alignment horizontal="right" vertical="center"/>
    </xf>
    <xf numFmtId="8" fontId="5" fillId="0" borderId="0" xfId="0" applyNumberFormat="1" applyFont="1" applyAlignment="1">
      <alignment horizontal="right" vertical="center"/>
    </xf>
    <xf numFmtId="8" fontId="0" fillId="0" borderId="6" xfId="0" applyNumberFormat="1" applyBorder="1" applyAlignment="1">
      <alignment horizontal="right" vertical="center"/>
    </xf>
    <xf numFmtId="8" fontId="4" fillId="0" borderId="7" xfId="0" applyNumberFormat="1" applyFont="1" applyBorder="1" applyAlignment="1">
      <alignment horizontal="right" vertical="center"/>
    </xf>
    <xf numFmtId="8" fontId="0" fillId="0" borderId="7" xfId="0" applyNumberFormat="1" applyBorder="1" applyAlignment="1">
      <alignment horizontal="right" vertical="center"/>
    </xf>
    <xf numFmtId="0" fontId="4" fillId="0" borderId="1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0" xfId="0" applyFont="1">
      <alignment vertical="center"/>
    </xf>
    <xf numFmtId="176" fontId="0" fillId="2" borderId="4" xfId="0" applyNumberFormat="1" applyFill="1" applyBorder="1">
      <alignment vertical="center"/>
    </xf>
    <xf numFmtId="176" fontId="0" fillId="0" borderId="4" xfId="0" applyNumberFormat="1" applyBorder="1">
      <alignment vertical="center"/>
    </xf>
    <xf numFmtId="0" fontId="4" fillId="0" borderId="3" xfId="0" applyFont="1" applyBorder="1">
      <alignment vertical="center"/>
    </xf>
    <xf numFmtId="0" fontId="3" fillId="0" borderId="0" xfId="0" applyFont="1" applyAlignment="1">
      <alignment wrapText="1"/>
    </xf>
    <xf numFmtId="0" fontId="6" fillId="0" borderId="1" xfId="0" applyFont="1" applyBorder="1">
      <alignment vertical="center"/>
    </xf>
    <xf numFmtId="14" fontId="0" fillId="0" borderId="3" xfId="0" applyNumberFormat="1" applyBorder="1">
      <alignment vertical="center"/>
    </xf>
    <xf numFmtId="8" fontId="0" fillId="0" borderId="4" xfId="0" applyNumberFormat="1" applyBorder="1" applyAlignment="1">
      <alignment horizontal="right" vertical="center"/>
    </xf>
    <xf numFmtId="176" fontId="0" fillId="0" borderId="9" xfId="0" applyNumberFormat="1" applyBorder="1">
      <alignment vertical="center"/>
    </xf>
    <xf numFmtId="14" fontId="2" fillId="0" borderId="10" xfId="0" applyNumberFormat="1" applyFont="1" applyBorder="1" applyAlignment="1">
      <alignment horizontal="right" wrapText="1"/>
    </xf>
    <xf numFmtId="0" fontId="8" fillId="0" borderId="3" xfId="0" applyFont="1" applyBorder="1">
      <alignment vertical="center"/>
    </xf>
    <xf numFmtId="8" fontId="9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176" fontId="10" fillId="0" borderId="4" xfId="0" applyNumberFormat="1" applyFont="1" applyBorder="1">
      <alignment vertical="center"/>
    </xf>
    <xf numFmtId="0" fontId="11" fillId="0" borderId="0" xfId="0" applyFont="1">
      <alignment vertical="center"/>
    </xf>
    <xf numFmtId="0" fontId="12" fillId="0" borderId="3" xfId="0" applyFont="1" applyBorder="1">
      <alignment vertical="center"/>
    </xf>
    <xf numFmtId="14" fontId="2" fillId="0" borderId="0" xfId="0" applyNumberFormat="1" applyFont="1" applyAlignment="1">
      <alignment horizontal="right" wrapText="1"/>
    </xf>
    <xf numFmtId="8" fontId="13" fillId="0" borderId="0" xfId="0" applyNumberFormat="1" applyFont="1">
      <alignment vertical="center"/>
    </xf>
    <xf numFmtId="8" fontId="14" fillId="0" borderId="0" xfId="0" applyNumberFormat="1" applyFont="1">
      <alignment vertical="center"/>
    </xf>
    <xf numFmtId="8" fontId="15" fillId="0" borderId="0" xfId="0" applyNumberFormat="1" applyFont="1">
      <alignment vertical="center"/>
    </xf>
    <xf numFmtId="0" fontId="4" fillId="0" borderId="5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5706-74DD-7047-823A-A1E835E3BA57}">
  <dimension ref="A1:J87"/>
  <sheetViews>
    <sheetView topLeftCell="A11" zoomScaleNormal="100" workbookViewId="0">
      <selection activeCell="B27" sqref="B27"/>
    </sheetView>
  </sheetViews>
  <sheetFormatPr defaultColWidth="11.04296875" defaultRowHeight="15" x14ac:dyDescent="0.15"/>
  <cols>
    <col min="2" max="2" width="62.13671875" style="8" customWidth="1"/>
    <col min="3" max="3" width="22.8828125" style="28" customWidth="1"/>
    <col min="4" max="4" width="9.4453125" style="2" customWidth="1"/>
    <col min="5" max="5" width="8.51171875" style="2" customWidth="1"/>
    <col min="6" max="6" width="21.15234375" style="2" customWidth="1"/>
    <col min="7" max="7" width="22.8828125" style="2" customWidth="1"/>
    <col min="8" max="8" width="11.04296875" bestFit="1" customWidth="1"/>
    <col min="9" max="9" width="1.4609375" customWidth="1"/>
    <col min="10" max="10" width="21.5546875" customWidth="1"/>
  </cols>
  <sheetData>
    <row r="1" spans="1:10" ht="15.75" thickBot="1" x14ac:dyDescent="0.2">
      <c r="A1" s="1" t="s">
        <v>0</v>
      </c>
      <c r="B1" s="7" t="s">
        <v>1</v>
      </c>
      <c r="C1" s="27" t="s">
        <v>31</v>
      </c>
      <c r="D1" s="3" t="s">
        <v>44</v>
      </c>
      <c r="E1" s="3" t="s">
        <v>2</v>
      </c>
      <c r="F1" s="3" t="s">
        <v>3</v>
      </c>
      <c r="G1" s="3" t="s">
        <v>4</v>
      </c>
      <c r="I1" s="10"/>
      <c r="J1" s="10"/>
    </row>
    <row r="2" spans="1:10" ht="18" thickBot="1" x14ac:dyDescent="0.2">
      <c r="A2" s="35">
        <v>46114</v>
      </c>
      <c r="B2" s="8" t="s">
        <v>77</v>
      </c>
      <c r="C2" s="34">
        <v>15200</v>
      </c>
      <c r="D2" s="9" t="s">
        <v>59</v>
      </c>
      <c r="E2" s="16" t="s">
        <v>70</v>
      </c>
      <c r="H2" s="11"/>
    </row>
    <row r="3" spans="1:10" ht="18" thickBot="1" x14ac:dyDescent="0.2">
      <c r="A3" s="35">
        <v>46114</v>
      </c>
      <c r="B3" s="8" t="s">
        <v>110</v>
      </c>
      <c r="C3" s="34">
        <v>108</v>
      </c>
      <c r="D3" s="9" t="s">
        <v>111</v>
      </c>
      <c r="E3" s="16" t="s">
        <v>70</v>
      </c>
      <c r="H3" s="11"/>
    </row>
    <row r="4" spans="1:10" ht="18" thickBot="1" x14ac:dyDescent="0.2">
      <c r="A4" s="35">
        <v>46117</v>
      </c>
      <c r="B4" s="8" t="s">
        <v>74</v>
      </c>
      <c r="C4" s="28">
        <v>148</v>
      </c>
      <c r="D4" s="9" t="s">
        <v>59</v>
      </c>
      <c r="E4" s="16" t="s">
        <v>71</v>
      </c>
    </row>
    <row r="5" spans="1:10" ht="18" thickBot="1" x14ac:dyDescent="0.2">
      <c r="A5" s="35">
        <v>46117</v>
      </c>
      <c r="B5" s="8" t="s">
        <v>75</v>
      </c>
      <c r="C5" s="28">
        <v>195</v>
      </c>
      <c r="D5" s="9" t="s">
        <v>59</v>
      </c>
      <c r="E5" s="16" t="s">
        <v>71</v>
      </c>
    </row>
    <row r="6" spans="1:10" ht="18" thickBot="1" x14ac:dyDescent="0.2">
      <c r="A6" s="35">
        <v>46117</v>
      </c>
      <c r="B6" s="8" t="s">
        <v>79</v>
      </c>
      <c r="C6" s="28">
        <v>8000</v>
      </c>
      <c r="D6" s="9" t="s">
        <v>59</v>
      </c>
      <c r="E6" s="16" t="s">
        <v>71</v>
      </c>
    </row>
    <row r="7" spans="1:10" ht="18" thickBot="1" x14ac:dyDescent="0.2">
      <c r="A7" s="35">
        <v>46117</v>
      </c>
      <c r="B7" s="8" t="s">
        <v>78</v>
      </c>
      <c r="C7" s="28">
        <v>1915.87</v>
      </c>
      <c r="D7" s="9" t="s">
        <v>59</v>
      </c>
      <c r="E7" s="16" t="s">
        <v>71</v>
      </c>
    </row>
    <row r="8" spans="1:10" ht="18" thickBot="1" x14ac:dyDescent="0.2">
      <c r="A8" s="35">
        <v>46117</v>
      </c>
      <c r="B8" s="8" t="s">
        <v>80</v>
      </c>
      <c r="C8" s="28">
        <v>1020</v>
      </c>
      <c r="D8" s="9" t="s">
        <v>60</v>
      </c>
      <c r="E8" s="16" t="s">
        <v>70</v>
      </c>
    </row>
    <row r="9" spans="1:10" ht="18" thickBot="1" x14ac:dyDescent="0.2">
      <c r="A9" s="35">
        <v>46117</v>
      </c>
      <c r="B9" s="8" t="s">
        <v>81</v>
      </c>
      <c r="C9" s="28">
        <v>1200</v>
      </c>
      <c r="D9" s="9" t="s">
        <v>59</v>
      </c>
      <c r="E9" s="16" t="s">
        <v>71</v>
      </c>
    </row>
    <row r="10" spans="1:10" ht="18" thickBot="1" x14ac:dyDescent="0.2">
      <c r="A10" s="35">
        <v>46117</v>
      </c>
      <c r="B10" s="8" t="s">
        <v>82</v>
      </c>
      <c r="C10" s="28">
        <v>360</v>
      </c>
      <c r="D10" s="9" t="s">
        <v>59</v>
      </c>
      <c r="E10" s="16" t="s">
        <v>71</v>
      </c>
    </row>
    <row r="11" spans="1:10" ht="18" thickBot="1" x14ac:dyDescent="0.2">
      <c r="A11" s="35">
        <v>46117</v>
      </c>
      <c r="B11" s="8" t="s">
        <v>83</v>
      </c>
      <c r="C11" s="28">
        <v>10275</v>
      </c>
      <c r="D11" s="9" t="s">
        <v>59</v>
      </c>
      <c r="E11" s="16" t="s">
        <v>71</v>
      </c>
    </row>
    <row r="12" spans="1:10" ht="18" thickBot="1" x14ac:dyDescent="0.2">
      <c r="A12" s="35">
        <v>46117</v>
      </c>
      <c r="B12" s="8" t="s">
        <v>84</v>
      </c>
      <c r="C12" s="28">
        <v>800</v>
      </c>
      <c r="D12" s="9" t="s">
        <v>59</v>
      </c>
      <c r="E12" s="16" t="s">
        <v>71</v>
      </c>
    </row>
    <row r="13" spans="1:10" ht="18" thickBot="1" x14ac:dyDescent="0.2">
      <c r="A13" s="35">
        <v>46117</v>
      </c>
      <c r="B13" s="8" t="s">
        <v>85</v>
      </c>
      <c r="C13" s="28">
        <v>1906.67</v>
      </c>
      <c r="D13" s="9" t="s">
        <v>59</v>
      </c>
      <c r="E13" s="16" t="s">
        <v>71</v>
      </c>
    </row>
    <row r="14" spans="1:10" ht="18" thickBot="1" x14ac:dyDescent="0.2">
      <c r="A14" s="35">
        <v>46117</v>
      </c>
      <c r="B14" s="8" t="s">
        <v>86</v>
      </c>
      <c r="C14" s="28">
        <v>1096.6600000000001</v>
      </c>
      <c r="D14" s="9" t="s">
        <v>59</v>
      </c>
      <c r="E14" s="16" t="s">
        <v>71</v>
      </c>
    </row>
    <row r="15" spans="1:10" ht="18" thickBot="1" x14ac:dyDescent="0.2">
      <c r="A15" s="35">
        <v>46117</v>
      </c>
      <c r="B15" s="8" t="s">
        <v>87</v>
      </c>
      <c r="C15" s="28">
        <v>6515</v>
      </c>
      <c r="D15" s="9" t="s">
        <v>59</v>
      </c>
      <c r="E15" s="16" t="s">
        <v>71</v>
      </c>
    </row>
    <row r="16" spans="1:10" ht="18" thickBot="1" x14ac:dyDescent="0.2">
      <c r="A16" s="35">
        <v>46117</v>
      </c>
      <c r="B16" s="8" t="s">
        <v>88</v>
      </c>
      <c r="C16" s="28">
        <v>850</v>
      </c>
      <c r="D16" s="9" t="s">
        <v>59</v>
      </c>
      <c r="E16" s="16" t="s">
        <v>71</v>
      </c>
    </row>
    <row r="17" spans="1:10" ht="18" thickBot="1" x14ac:dyDescent="0.2">
      <c r="A17" s="35">
        <v>46117</v>
      </c>
      <c r="B17" s="8" t="s">
        <v>89</v>
      </c>
      <c r="C17" s="28">
        <v>2580</v>
      </c>
      <c r="D17" s="9" t="s">
        <v>59</v>
      </c>
      <c r="E17" s="16" t="s">
        <v>71</v>
      </c>
    </row>
    <row r="18" spans="1:10" s="2" customFormat="1" ht="18" thickBot="1" x14ac:dyDescent="0.2">
      <c r="A18" s="35">
        <v>46117</v>
      </c>
      <c r="B18" s="8" t="s">
        <v>90</v>
      </c>
      <c r="C18" s="28">
        <v>2820</v>
      </c>
      <c r="D18" s="9" t="s">
        <v>60</v>
      </c>
      <c r="E18" s="16" t="s">
        <v>71</v>
      </c>
      <c r="H18"/>
      <c r="I18"/>
      <c r="J18"/>
    </row>
    <row r="19" spans="1:10" ht="18" thickBot="1" x14ac:dyDescent="0.2">
      <c r="A19" s="35">
        <v>46117</v>
      </c>
      <c r="B19" s="8" t="s">
        <v>91</v>
      </c>
      <c r="C19" s="28">
        <v>1200</v>
      </c>
      <c r="D19" s="9" t="s">
        <v>59</v>
      </c>
      <c r="E19" s="16" t="s">
        <v>71</v>
      </c>
    </row>
    <row r="20" spans="1:10" ht="18" thickBot="1" x14ac:dyDescent="0.2">
      <c r="A20" s="35">
        <v>46117</v>
      </c>
      <c r="B20" s="38" t="s">
        <v>96</v>
      </c>
      <c r="C20" s="28">
        <v>2385</v>
      </c>
      <c r="D20" s="9" t="s">
        <v>59</v>
      </c>
      <c r="E20" s="16" t="s">
        <v>71</v>
      </c>
    </row>
    <row r="21" spans="1:10" ht="18" thickBot="1" x14ac:dyDescent="0.2">
      <c r="A21" s="35">
        <v>46117</v>
      </c>
      <c r="B21" s="38" t="s">
        <v>97</v>
      </c>
      <c r="C21" s="28">
        <v>100</v>
      </c>
      <c r="D21" s="9" t="s">
        <v>59</v>
      </c>
      <c r="E21" s="16" t="s">
        <v>71</v>
      </c>
    </row>
    <row r="22" spans="1:10" ht="18" thickBot="1" x14ac:dyDescent="0.2">
      <c r="A22" s="35">
        <v>46117</v>
      </c>
      <c r="B22" s="8" t="s">
        <v>131</v>
      </c>
      <c r="C22" s="28">
        <v>3190</v>
      </c>
      <c r="D22" s="37" t="s">
        <v>46</v>
      </c>
      <c r="E22" s="16" t="s">
        <v>71</v>
      </c>
    </row>
    <row r="23" spans="1:10" s="2" customFormat="1" ht="18" thickBot="1" x14ac:dyDescent="0.2">
      <c r="A23" s="35">
        <v>46117</v>
      </c>
      <c r="B23" s="8" t="s">
        <v>92</v>
      </c>
      <c r="C23" s="28">
        <v>2460</v>
      </c>
      <c r="D23" s="9" t="s">
        <v>59</v>
      </c>
      <c r="E23" s="16" t="s">
        <v>71</v>
      </c>
      <c r="H23"/>
      <c r="I23"/>
      <c r="J23"/>
    </row>
    <row r="24" spans="1:10" ht="18" thickBot="1" x14ac:dyDescent="0.2">
      <c r="A24" s="35">
        <v>46118</v>
      </c>
      <c r="B24" s="8" t="s">
        <v>99</v>
      </c>
      <c r="C24" s="28">
        <v>9745</v>
      </c>
      <c r="D24" s="39" t="s">
        <v>95</v>
      </c>
      <c r="E24" s="16" t="s">
        <v>71</v>
      </c>
    </row>
    <row r="25" spans="1:10" ht="18" thickBot="1" x14ac:dyDescent="0.2">
      <c r="A25" s="35">
        <v>46118</v>
      </c>
      <c r="B25" s="8" t="s">
        <v>94</v>
      </c>
      <c r="C25" s="28">
        <v>13286</v>
      </c>
      <c r="D25" s="9" t="s">
        <v>59</v>
      </c>
      <c r="E25" s="16" t="s">
        <v>71</v>
      </c>
    </row>
    <row r="26" spans="1:10" ht="18" thickBot="1" x14ac:dyDescent="0.2">
      <c r="A26" s="35">
        <v>46118</v>
      </c>
      <c r="B26" s="8" t="s">
        <v>98</v>
      </c>
      <c r="C26" s="28">
        <v>15450</v>
      </c>
      <c r="D26" s="39" t="s">
        <v>95</v>
      </c>
      <c r="E26" s="16" t="s">
        <v>71</v>
      </c>
    </row>
    <row r="27" spans="1:10" ht="18" thickBot="1" x14ac:dyDescent="0.2">
      <c r="A27" s="35">
        <v>46118</v>
      </c>
      <c r="B27" s="8" t="s">
        <v>100</v>
      </c>
      <c r="C27" s="28">
        <v>800</v>
      </c>
      <c r="D27" s="9" t="s">
        <v>59</v>
      </c>
      <c r="E27" s="16" t="s">
        <v>71</v>
      </c>
    </row>
    <row r="28" spans="1:10" ht="18" thickBot="1" x14ac:dyDescent="0.2">
      <c r="A28" s="35">
        <v>46118</v>
      </c>
      <c r="B28" s="8" t="s">
        <v>108</v>
      </c>
      <c r="C28" s="28">
        <v>180</v>
      </c>
      <c r="D28" s="9" t="s">
        <v>69</v>
      </c>
      <c r="E28" s="16" t="s">
        <v>70</v>
      </c>
    </row>
    <row r="29" spans="1:10" ht="18" thickBot="1" x14ac:dyDescent="0.2">
      <c r="A29" s="35">
        <v>46118</v>
      </c>
      <c r="B29" s="8" t="s">
        <v>72</v>
      </c>
      <c r="C29" s="28">
        <v>29449</v>
      </c>
      <c r="D29" s="9" t="s">
        <v>59</v>
      </c>
      <c r="E29" s="16" t="s">
        <v>71</v>
      </c>
    </row>
    <row r="30" spans="1:10" s="2" customFormat="1" ht="18" thickBot="1" x14ac:dyDescent="0.2">
      <c r="A30" s="35">
        <v>46118</v>
      </c>
      <c r="B30" s="8" t="s">
        <v>73</v>
      </c>
      <c r="C30" s="28">
        <v>13657</v>
      </c>
      <c r="D30" s="9" t="s">
        <v>59</v>
      </c>
      <c r="E30" s="16" t="s">
        <v>71</v>
      </c>
      <c r="H30"/>
      <c r="I30"/>
      <c r="J30"/>
    </row>
    <row r="31" spans="1:10" s="2" customFormat="1" ht="18" thickBot="1" x14ac:dyDescent="0.2">
      <c r="A31" s="35">
        <v>46121</v>
      </c>
      <c r="B31" s="8" t="s">
        <v>102</v>
      </c>
      <c r="C31" s="28">
        <v>7600</v>
      </c>
      <c r="D31" s="9" t="s">
        <v>59</v>
      </c>
      <c r="E31" s="16" t="s">
        <v>71</v>
      </c>
      <c r="H31"/>
      <c r="I31"/>
      <c r="J31"/>
    </row>
    <row r="32" spans="1:10" ht="18" thickBot="1" x14ac:dyDescent="0.2">
      <c r="A32" s="35">
        <v>46121</v>
      </c>
      <c r="B32" s="8" t="s">
        <v>103</v>
      </c>
      <c r="C32" s="28">
        <v>250</v>
      </c>
      <c r="D32" s="37" t="s">
        <v>46</v>
      </c>
      <c r="E32" s="16" t="s">
        <v>71</v>
      </c>
    </row>
    <row r="33" spans="1:10" ht="18" thickBot="1" x14ac:dyDescent="0.2">
      <c r="A33" s="35">
        <v>46123</v>
      </c>
      <c r="B33" s="40" t="s">
        <v>101</v>
      </c>
      <c r="C33" s="28">
        <v>3660</v>
      </c>
      <c r="D33" s="9" t="s">
        <v>59</v>
      </c>
      <c r="E33" s="16" t="s">
        <v>71</v>
      </c>
    </row>
    <row r="34" spans="1:10" ht="18" thickBot="1" x14ac:dyDescent="0.2">
      <c r="A34" s="35">
        <v>46123</v>
      </c>
      <c r="B34" s="8" t="s">
        <v>93</v>
      </c>
      <c r="C34" s="28">
        <v>1867</v>
      </c>
      <c r="D34" s="9" t="s">
        <v>59</v>
      </c>
      <c r="E34" s="16" t="s">
        <v>71</v>
      </c>
    </row>
    <row r="35" spans="1:10" s="2" customFormat="1" ht="17.25" x14ac:dyDescent="0.15">
      <c r="A35" s="6">
        <v>46124</v>
      </c>
      <c r="B35" s="8" t="s">
        <v>76</v>
      </c>
      <c r="C35" s="34">
        <v>800</v>
      </c>
      <c r="D35" s="9" t="s">
        <v>60</v>
      </c>
      <c r="E35" s="16" t="s">
        <v>71</v>
      </c>
      <c r="H35"/>
      <c r="I35"/>
      <c r="J35"/>
    </row>
    <row r="36" spans="1:10" s="2" customFormat="1" ht="17.25" x14ac:dyDescent="0.15">
      <c r="A36" s="6">
        <v>46124</v>
      </c>
      <c r="B36" s="8" t="s">
        <v>104</v>
      </c>
      <c r="C36" s="28">
        <v>308</v>
      </c>
      <c r="D36" s="9" t="s">
        <v>59</v>
      </c>
      <c r="E36" s="16" t="s">
        <v>71</v>
      </c>
      <c r="H36"/>
      <c r="I36"/>
      <c r="J36"/>
    </row>
    <row r="37" spans="1:10" s="2" customFormat="1" ht="17.25" x14ac:dyDescent="0.15">
      <c r="A37" s="6">
        <v>46127</v>
      </c>
      <c r="B37" s="8" t="s">
        <v>105</v>
      </c>
      <c r="C37" s="28">
        <v>308</v>
      </c>
      <c r="D37" s="9" t="s">
        <v>59</v>
      </c>
      <c r="E37" s="16" t="s">
        <v>71</v>
      </c>
      <c r="H37"/>
      <c r="I37"/>
      <c r="J37"/>
    </row>
    <row r="38" spans="1:10" s="2" customFormat="1" ht="17.25" x14ac:dyDescent="0.15">
      <c r="A38" s="6">
        <v>46132</v>
      </c>
      <c r="B38" s="8" t="s">
        <v>106</v>
      </c>
      <c r="C38" s="28">
        <v>211.98</v>
      </c>
      <c r="D38" s="9" t="s">
        <v>59</v>
      </c>
      <c r="E38" s="16" t="s">
        <v>71</v>
      </c>
      <c r="H38"/>
      <c r="I38"/>
      <c r="J38"/>
    </row>
    <row r="39" spans="1:10" ht="17.25" x14ac:dyDescent="0.15">
      <c r="A39" s="6">
        <v>46132</v>
      </c>
      <c r="B39" s="8" t="s">
        <v>107</v>
      </c>
      <c r="C39" s="28">
        <v>49</v>
      </c>
      <c r="D39" s="9" t="s">
        <v>59</v>
      </c>
      <c r="E39" s="16" t="s">
        <v>71</v>
      </c>
    </row>
    <row r="40" spans="1:10" s="2" customFormat="1" ht="17.25" x14ac:dyDescent="0.15">
      <c r="A40" s="6">
        <v>46137</v>
      </c>
      <c r="B40" s="8" t="s">
        <v>109</v>
      </c>
      <c r="C40" s="28">
        <v>1626.63</v>
      </c>
      <c r="D40" s="9" t="s">
        <v>59</v>
      </c>
      <c r="E40" s="16" t="s">
        <v>71</v>
      </c>
      <c r="H40"/>
      <c r="I40"/>
      <c r="J40"/>
    </row>
    <row r="41" spans="1:10" s="2" customFormat="1" ht="17.25" x14ac:dyDescent="0.15">
      <c r="A41" s="6">
        <v>46139</v>
      </c>
      <c r="B41" s="8" t="s">
        <v>112</v>
      </c>
      <c r="C41" s="28">
        <v>25000</v>
      </c>
      <c r="D41" s="9" t="s">
        <v>59</v>
      </c>
      <c r="E41" s="16" t="s">
        <v>71</v>
      </c>
      <c r="H41"/>
      <c r="I41"/>
      <c r="J41"/>
    </row>
    <row r="42" spans="1:10" s="2" customFormat="1" ht="17.25" x14ac:dyDescent="0.15">
      <c r="A42" s="6">
        <v>46141</v>
      </c>
      <c r="B42" s="8" t="s">
        <v>113</v>
      </c>
      <c r="C42" s="28">
        <v>5000</v>
      </c>
      <c r="D42" s="9" t="s">
        <v>59</v>
      </c>
      <c r="E42" s="31" t="s">
        <v>71</v>
      </c>
      <c r="H42"/>
      <c r="I42"/>
      <c r="J42"/>
    </row>
    <row r="43" spans="1:10" s="2" customFormat="1" ht="17.25" x14ac:dyDescent="0.15">
      <c r="A43" s="6"/>
      <c r="B43" s="8"/>
      <c r="C43" s="28"/>
      <c r="D43" s="9"/>
      <c r="E43" s="31"/>
      <c r="H43"/>
      <c r="I43"/>
      <c r="J43"/>
    </row>
    <row r="44" spans="1:10" s="2" customFormat="1" ht="17.25" x14ac:dyDescent="0.15">
      <c r="A44" s="6"/>
      <c r="B44" s="8"/>
      <c r="C44" s="28"/>
      <c r="D44" s="9"/>
      <c r="E44" s="31"/>
      <c r="H44"/>
      <c r="I44"/>
      <c r="J44"/>
    </row>
    <row r="45" spans="1:10" s="2" customFormat="1" ht="17.25" x14ac:dyDescent="0.15">
      <c r="A45" s="6"/>
      <c r="B45" s="8"/>
      <c r="C45" s="28"/>
      <c r="D45" s="9"/>
      <c r="E45" s="31"/>
      <c r="H45"/>
      <c r="I45"/>
      <c r="J45"/>
    </row>
    <row r="46" spans="1:10" s="2" customFormat="1" ht="17.25" x14ac:dyDescent="0.15">
      <c r="A46" s="6"/>
      <c r="B46" s="8"/>
      <c r="C46" s="28"/>
      <c r="D46" s="9"/>
      <c r="E46" s="31"/>
      <c r="H46"/>
      <c r="I46"/>
      <c r="J46"/>
    </row>
    <row r="47" spans="1:10" s="2" customFormat="1" ht="17.25" x14ac:dyDescent="0.15">
      <c r="A47" s="6"/>
      <c r="B47" s="8"/>
      <c r="C47" s="28"/>
      <c r="D47" s="9"/>
      <c r="E47" s="31"/>
      <c r="H47"/>
      <c r="I47"/>
      <c r="J47"/>
    </row>
    <row r="48" spans="1:10" s="2" customFormat="1" ht="17.25" x14ac:dyDescent="0.15">
      <c r="A48" s="6"/>
      <c r="B48" s="8"/>
      <c r="C48" s="28"/>
      <c r="D48" s="9"/>
      <c r="E48" s="31"/>
      <c r="H48"/>
      <c r="I48"/>
      <c r="J48"/>
    </row>
    <row r="49" spans="1:10" s="2" customFormat="1" ht="17.25" x14ac:dyDescent="0.15">
      <c r="A49" s="6"/>
      <c r="B49" s="8"/>
      <c r="C49" s="28"/>
      <c r="D49" s="9"/>
      <c r="E49" s="16"/>
      <c r="H49"/>
      <c r="I49"/>
      <c r="J49"/>
    </row>
    <row r="50" spans="1:10" s="2" customFormat="1" ht="17.25" x14ac:dyDescent="0.15">
      <c r="A50" s="6"/>
      <c r="B50" s="8"/>
      <c r="C50" s="28"/>
      <c r="D50" s="9"/>
      <c r="E50" s="31"/>
      <c r="H50"/>
      <c r="I50"/>
      <c r="J50"/>
    </row>
    <row r="51" spans="1:10" s="2" customFormat="1" ht="17.25" x14ac:dyDescent="0.15">
      <c r="A51" s="6"/>
      <c r="B51" s="8"/>
      <c r="C51" s="28"/>
      <c r="D51" s="9"/>
      <c r="E51" s="16"/>
      <c r="H51"/>
      <c r="I51"/>
      <c r="J51"/>
    </row>
    <row r="52" spans="1:10" s="2" customFormat="1" ht="17.25" x14ac:dyDescent="0.15">
      <c r="A52" s="6"/>
      <c r="B52" s="36"/>
      <c r="C52" s="28"/>
      <c r="D52" s="9"/>
      <c r="E52" s="31"/>
      <c r="H52"/>
      <c r="I52"/>
      <c r="J52"/>
    </row>
    <row r="53" spans="1:10" s="2" customFormat="1" ht="17.25" x14ac:dyDescent="0.15">
      <c r="A53" s="6"/>
      <c r="B53" s="36"/>
      <c r="C53" s="28"/>
      <c r="D53" s="9"/>
      <c r="E53" s="31"/>
      <c r="H53"/>
      <c r="I53"/>
      <c r="J53"/>
    </row>
    <row r="54" spans="1:10" s="2" customFormat="1" ht="17.25" x14ac:dyDescent="0.15">
      <c r="A54" s="6"/>
      <c r="B54" s="36"/>
      <c r="C54" s="28"/>
      <c r="D54" s="9"/>
      <c r="E54" s="31"/>
      <c r="H54"/>
      <c r="I54"/>
      <c r="J54"/>
    </row>
    <row r="55" spans="1:10" s="2" customFormat="1" ht="17.25" x14ac:dyDescent="0.15">
      <c r="A55" s="6"/>
      <c r="B55" s="36"/>
      <c r="C55" s="28"/>
      <c r="D55" s="9"/>
      <c r="E55" s="31"/>
      <c r="H55"/>
      <c r="I55"/>
      <c r="J55"/>
    </row>
    <row r="56" spans="1:10" s="2" customFormat="1" ht="17.25" x14ac:dyDescent="0.15">
      <c r="A56" s="6"/>
      <c r="B56" s="36"/>
      <c r="C56" s="28"/>
      <c r="D56" s="9"/>
      <c r="E56" s="31"/>
      <c r="H56"/>
      <c r="I56"/>
      <c r="J56"/>
    </row>
    <row r="57" spans="1:10" s="2" customFormat="1" ht="17.25" x14ac:dyDescent="0.15">
      <c r="A57" s="6"/>
      <c r="B57" s="36"/>
      <c r="C57" s="28"/>
      <c r="D57" s="9"/>
      <c r="E57" s="31"/>
      <c r="H57"/>
      <c r="I57"/>
      <c r="J57"/>
    </row>
    <row r="58" spans="1:10" s="2" customFormat="1" ht="17.25" x14ac:dyDescent="0.15">
      <c r="A58" s="6"/>
      <c r="B58" s="36"/>
      <c r="C58" s="33"/>
      <c r="D58" s="9"/>
      <c r="E58" s="31"/>
      <c r="H58"/>
      <c r="I58"/>
      <c r="J58"/>
    </row>
    <row r="59" spans="1:10" s="2" customFormat="1" ht="17.25" x14ac:dyDescent="0.15">
      <c r="A59" s="6"/>
      <c r="B59" s="8"/>
      <c r="C59" s="28"/>
      <c r="D59" s="9"/>
      <c r="E59" s="24"/>
      <c r="H59"/>
      <c r="I59"/>
      <c r="J59"/>
    </row>
    <row r="60" spans="1:10" s="2" customFormat="1" ht="17.25" x14ac:dyDescent="0.15">
      <c r="A60" s="6"/>
      <c r="B60" s="8"/>
      <c r="C60" s="28"/>
      <c r="D60" s="9"/>
      <c r="E60" s="31"/>
      <c r="H60"/>
      <c r="I60"/>
      <c r="J60"/>
    </row>
    <row r="61" spans="1:10" ht="17.25" x14ac:dyDescent="0.15">
      <c r="A61" s="6"/>
      <c r="B61" s="36"/>
      <c r="D61" s="9"/>
      <c r="E61" s="31"/>
    </row>
    <row r="62" spans="1:10" ht="17.25" x14ac:dyDescent="0.15">
      <c r="A62" s="6"/>
      <c r="B62" s="36"/>
      <c r="D62" s="9"/>
      <c r="E62" s="31"/>
    </row>
    <row r="63" spans="1:10" ht="17.25" x14ac:dyDescent="0.15">
      <c r="A63" s="6"/>
      <c r="D63" s="9"/>
      <c r="E63" s="24"/>
    </row>
    <row r="64" spans="1:10" s="2" customFormat="1" ht="17.25" x14ac:dyDescent="0.15">
      <c r="A64" s="32"/>
      <c r="B64" s="8"/>
      <c r="C64" s="28"/>
      <c r="D64" s="9"/>
      <c r="E64" s="31"/>
      <c r="H64"/>
      <c r="I64"/>
      <c r="J64"/>
    </row>
    <row r="65" spans="1:10" s="2" customFormat="1" ht="17.25" x14ac:dyDescent="0.15">
      <c r="A65" s="32"/>
      <c r="B65" s="8"/>
      <c r="C65" s="28"/>
      <c r="D65" s="9"/>
      <c r="E65" s="31"/>
      <c r="H65"/>
      <c r="I65"/>
      <c r="J65"/>
    </row>
    <row r="66" spans="1:10" s="2" customFormat="1" ht="17.25" x14ac:dyDescent="0.15">
      <c r="A66" s="6"/>
      <c r="B66" s="36"/>
      <c r="C66" s="28"/>
      <c r="D66" s="9"/>
      <c r="E66" s="16"/>
      <c r="H66"/>
      <c r="I66"/>
      <c r="J66"/>
    </row>
    <row r="67" spans="1:10" s="2" customFormat="1" ht="17.25" x14ac:dyDescent="0.15">
      <c r="A67" s="6"/>
      <c r="B67" s="8"/>
      <c r="C67" s="28"/>
      <c r="E67" s="24"/>
      <c r="H67"/>
      <c r="I67"/>
      <c r="J67"/>
    </row>
    <row r="68" spans="1:10" s="2" customFormat="1" x14ac:dyDescent="0.15">
      <c r="A68" s="6"/>
      <c r="B68" s="8"/>
      <c r="C68" s="28"/>
      <c r="H68"/>
      <c r="I68"/>
      <c r="J68"/>
    </row>
    <row r="69" spans="1:10" s="2" customFormat="1" x14ac:dyDescent="0.15">
      <c r="A69" s="6"/>
      <c r="B69" s="8"/>
      <c r="C69" s="28"/>
      <c r="H69"/>
      <c r="I69"/>
      <c r="J69"/>
    </row>
    <row r="70" spans="1:10" s="2" customFormat="1" x14ac:dyDescent="0.15">
      <c r="A70" s="6"/>
      <c r="B70" s="8"/>
      <c r="C70" s="28"/>
      <c r="H70"/>
      <c r="I70"/>
      <c r="J70"/>
    </row>
    <row r="71" spans="1:10" s="2" customFormat="1" ht="17.25" x14ac:dyDescent="0.15">
      <c r="A71" s="6"/>
      <c r="B71" s="8"/>
      <c r="C71" s="28"/>
      <c r="E71" s="24"/>
      <c r="H71"/>
      <c r="I71"/>
      <c r="J71"/>
    </row>
    <row r="72" spans="1:10" s="2" customFormat="1" x14ac:dyDescent="0.15">
      <c r="A72" s="6"/>
      <c r="B72" s="8"/>
      <c r="C72" s="28"/>
      <c r="H72"/>
      <c r="I72"/>
      <c r="J72"/>
    </row>
    <row r="73" spans="1:10" s="2" customFormat="1" x14ac:dyDescent="0.15">
      <c r="A73" s="6"/>
      <c r="B73" s="8"/>
      <c r="C73" s="28"/>
      <c r="H73"/>
      <c r="I73"/>
      <c r="J73"/>
    </row>
    <row r="74" spans="1:10" s="2" customFormat="1" ht="17.25" x14ac:dyDescent="0.15">
      <c r="A74" s="6"/>
      <c r="B74" s="8"/>
      <c r="C74" s="28"/>
      <c r="E74" s="24"/>
      <c r="H74"/>
      <c r="I74"/>
      <c r="J74"/>
    </row>
    <row r="75" spans="1:10" s="2" customFormat="1" ht="17.25" x14ac:dyDescent="0.15">
      <c r="A75" s="6"/>
      <c r="B75" s="8"/>
      <c r="C75" s="28"/>
      <c r="E75" s="24"/>
      <c r="H75"/>
      <c r="I75"/>
      <c r="J75"/>
    </row>
    <row r="76" spans="1:10" s="2" customFormat="1" x14ac:dyDescent="0.15">
      <c r="A76" s="6"/>
      <c r="B76" s="8"/>
      <c r="C76" s="28"/>
      <c r="H76"/>
      <c r="I76"/>
      <c r="J76"/>
    </row>
    <row r="77" spans="1:10" s="2" customFormat="1" x14ac:dyDescent="0.15">
      <c r="A77" s="6"/>
      <c r="B77" s="8"/>
      <c r="C77" s="28"/>
      <c r="H77"/>
      <c r="I77"/>
      <c r="J77"/>
    </row>
    <row r="78" spans="1:10" s="2" customFormat="1" x14ac:dyDescent="0.15">
      <c r="A78" s="6"/>
      <c r="B78" s="8"/>
      <c r="C78" s="28"/>
      <c r="H78"/>
      <c r="I78"/>
      <c r="J78"/>
    </row>
    <row r="79" spans="1:10" s="2" customFormat="1" x14ac:dyDescent="0.15">
      <c r="A79" s="6"/>
      <c r="B79" s="8"/>
      <c r="C79" s="28"/>
      <c r="H79"/>
      <c r="I79"/>
      <c r="J79"/>
    </row>
    <row r="80" spans="1:10" s="2" customFormat="1" x14ac:dyDescent="0.15">
      <c r="A80" s="6"/>
      <c r="B80" s="8"/>
      <c r="C80" s="28"/>
      <c r="H80"/>
      <c r="I80"/>
      <c r="J80"/>
    </row>
    <row r="81" spans="1:10" s="2" customFormat="1" x14ac:dyDescent="0.15">
      <c r="A81" s="6"/>
      <c r="B81" s="36"/>
      <c r="C81" s="28"/>
      <c r="H81"/>
      <c r="I81"/>
      <c r="J81"/>
    </row>
    <row r="82" spans="1:10" s="2" customFormat="1" ht="17.25" x14ac:dyDescent="0.15">
      <c r="A82" s="6"/>
      <c r="B82" s="29"/>
      <c r="C82" s="28"/>
      <c r="E82" s="24"/>
      <c r="H82"/>
      <c r="I82"/>
      <c r="J82"/>
    </row>
    <row r="83" spans="1:10" s="2" customFormat="1" x14ac:dyDescent="0.15">
      <c r="A83" s="6"/>
      <c r="B83" s="8"/>
      <c r="C83" s="28"/>
      <c r="H83"/>
      <c r="I83"/>
      <c r="J83"/>
    </row>
    <row r="84" spans="1:10" s="2" customFormat="1" ht="17.25" x14ac:dyDescent="0.15">
      <c r="A84" s="6"/>
      <c r="B84" s="29"/>
      <c r="C84" s="28"/>
      <c r="E84" s="24"/>
      <c r="H84"/>
      <c r="I84"/>
      <c r="J84"/>
    </row>
    <row r="85" spans="1:10" s="2" customFormat="1" ht="17.25" x14ac:dyDescent="0.15">
      <c r="A85" s="6"/>
      <c r="B85" s="29"/>
      <c r="C85" s="28"/>
      <c r="H85"/>
      <c r="I85"/>
      <c r="J85"/>
    </row>
    <row r="86" spans="1:10" s="2" customFormat="1" ht="17.25" x14ac:dyDescent="0.15">
      <c r="A86" s="6"/>
      <c r="B86" s="8"/>
      <c r="C86" s="28"/>
      <c r="E86" s="24"/>
      <c r="H86"/>
      <c r="I86"/>
      <c r="J86"/>
    </row>
    <row r="87" spans="1:10" s="2" customFormat="1" x14ac:dyDescent="0.15">
      <c r="A87" s="6"/>
      <c r="B87" s="8"/>
      <c r="C87" s="28"/>
      <c r="H87"/>
      <c r="I87"/>
      <c r="J87"/>
    </row>
  </sheetData>
  <phoneticPr fontId="1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5B7405-4E5D-9949-B75E-58CF087121B9}">
          <x14:formula1>
            <xm:f>清單名稱!$C:$C</xm:f>
          </x14:formula1>
          <xm:sqref>G64:G1048576 G18 G40:G60 G1:G14 G25 G16 G30:G38 G22:G23</xm:sqref>
        </x14:dataValidation>
        <x14:dataValidation type="list" allowBlank="1" showInputMessage="1" showErrorMessage="1" xr:uid="{5099FC13-3666-EB46-9D08-7A8CABB6D24C}">
          <x14:formula1>
            <xm:f>清單名稱!$A$2:$A$5</xm:f>
          </x14:formula1>
          <xm:sqref>D25 D1:D23 D27:D1048576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F417-5EAE-AB48-A3E1-554DF394D3CA}">
  <dimension ref="A1:J90"/>
  <sheetViews>
    <sheetView zoomScale="110" zoomScaleNormal="10" workbookViewId="0">
      <selection activeCell="B12" sqref="B12"/>
    </sheetView>
  </sheetViews>
  <sheetFormatPr defaultColWidth="11.04296875" defaultRowHeight="15" x14ac:dyDescent="0.15"/>
  <cols>
    <col min="2" max="2" width="62.13671875" style="8" customWidth="1"/>
    <col min="3" max="3" width="22.8828125" style="28" customWidth="1"/>
    <col min="4" max="4" width="9.4453125" style="2" customWidth="1"/>
    <col min="5" max="5" width="8.51171875" style="2" customWidth="1"/>
    <col min="6" max="6" width="21.15234375" style="2" customWidth="1"/>
    <col min="7" max="7" width="22.8828125" style="2" customWidth="1"/>
    <col min="8" max="8" width="11.04296875" bestFit="1" customWidth="1"/>
    <col min="9" max="9" width="1.4609375" customWidth="1"/>
    <col min="10" max="10" width="21.5546875" customWidth="1"/>
  </cols>
  <sheetData>
    <row r="1" spans="1:10" ht="15.75" thickBot="1" x14ac:dyDescent="0.2">
      <c r="A1" s="1" t="s">
        <v>0</v>
      </c>
      <c r="B1" s="7" t="s">
        <v>1</v>
      </c>
      <c r="C1" s="27" t="s">
        <v>31</v>
      </c>
      <c r="D1" s="3" t="s">
        <v>44</v>
      </c>
      <c r="E1" s="3" t="s">
        <v>2</v>
      </c>
      <c r="F1" s="3" t="s">
        <v>3</v>
      </c>
      <c r="G1" s="3" t="s">
        <v>4</v>
      </c>
      <c r="I1" s="10"/>
      <c r="J1" s="10"/>
    </row>
    <row r="2" spans="1:10" ht="18" thickBot="1" x14ac:dyDescent="0.2">
      <c r="A2" s="35">
        <v>46146</v>
      </c>
      <c r="B2" s="8" t="s">
        <v>114</v>
      </c>
      <c r="C2" s="34">
        <v>725</v>
      </c>
      <c r="D2" s="9" t="s">
        <v>59</v>
      </c>
      <c r="E2" s="16" t="s">
        <v>70</v>
      </c>
      <c r="H2" s="11"/>
    </row>
    <row r="3" spans="1:10" ht="18" thickBot="1" x14ac:dyDescent="0.2">
      <c r="A3" s="35">
        <v>46146</v>
      </c>
      <c r="B3" s="8" t="s">
        <v>110</v>
      </c>
      <c r="C3" s="34">
        <v>108</v>
      </c>
      <c r="D3" s="9" t="s">
        <v>111</v>
      </c>
      <c r="E3" s="16" t="s">
        <v>71</v>
      </c>
      <c r="H3" s="11"/>
    </row>
    <row r="4" spans="1:10" ht="18" thickBot="1" x14ac:dyDescent="0.2">
      <c r="A4" s="35">
        <v>46148</v>
      </c>
      <c r="B4" s="41" t="s">
        <v>115</v>
      </c>
      <c r="C4" s="34">
        <v>15200</v>
      </c>
      <c r="D4" s="9" t="s">
        <v>59</v>
      </c>
      <c r="E4" s="16" t="s">
        <v>70</v>
      </c>
      <c r="H4" s="11"/>
    </row>
    <row r="5" spans="1:10" ht="18" thickBot="1" x14ac:dyDescent="0.2">
      <c r="A5" s="35">
        <v>46148</v>
      </c>
      <c r="B5" s="8" t="s">
        <v>116</v>
      </c>
      <c r="C5" s="28">
        <v>8000</v>
      </c>
      <c r="D5" s="9" t="s">
        <v>59</v>
      </c>
      <c r="E5" s="16" t="s">
        <v>71</v>
      </c>
    </row>
    <row r="6" spans="1:10" ht="18" thickBot="1" x14ac:dyDescent="0.2">
      <c r="A6" s="35">
        <v>46148</v>
      </c>
      <c r="B6" s="8" t="s">
        <v>117</v>
      </c>
      <c r="C6" s="28">
        <v>191.67</v>
      </c>
      <c r="D6" s="9" t="s">
        <v>59</v>
      </c>
      <c r="E6" s="16" t="s">
        <v>71</v>
      </c>
    </row>
    <row r="7" spans="1:10" ht="18" thickBot="1" x14ac:dyDescent="0.2">
      <c r="A7" s="35">
        <v>46148</v>
      </c>
      <c r="B7" s="8" t="s">
        <v>118</v>
      </c>
      <c r="C7" s="28">
        <v>1320</v>
      </c>
      <c r="D7" s="9" t="s">
        <v>60</v>
      </c>
      <c r="E7" s="16" t="s">
        <v>70</v>
      </c>
    </row>
    <row r="8" spans="1:10" ht="18" thickBot="1" x14ac:dyDescent="0.2">
      <c r="A8" s="35">
        <v>46148</v>
      </c>
      <c r="B8" s="8" t="s">
        <v>119</v>
      </c>
      <c r="C8" s="28">
        <v>400</v>
      </c>
      <c r="D8" s="9" t="s">
        <v>59</v>
      </c>
      <c r="E8" s="16" t="s">
        <v>71</v>
      </c>
    </row>
    <row r="9" spans="1:10" ht="18" thickBot="1" x14ac:dyDescent="0.2">
      <c r="A9" s="35">
        <v>46148</v>
      </c>
      <c r="B9" s="8" t="s">
        <v>120</v>
      </c>
      <c r="C9" s="28">
        <v>450</v>
      </c>
      <c r="D9" s="9" t="s">
        <v>59</v>
      </c>
      <c r="E9" s="16" t="s">
        <v>71</v>
      </c>
    </row>
    <row r="10" spans="1:10" ht="18" thickBot="1" x14ac:dyDescent="0.2">
      <c r="A10" s="35">
        <v>46148</v>
      </c>
      <c r="B10" s="8" t="s">
        <v>121</v>
      </c>
      <c r="C10" s="28">
        <v>8412.5</v>
      </c>
      <c r="D10" s="9" t="s">
        <v>59</v>
      </c>
      <c r="E10" s="16" t="s">
        <v>71</v>
      </c>
    </row>
    <row r="11" spans="1:10" ht="18" thickBot="1" x14ac:dyDescent="0.2">
      <c r="A11" s="35">
        <v>46148</v>
      </c>
      <c r="B11" s="8" t="s">
        <v>122</v>
      </c>
      <c r="C11" s="28">
        <v>517.5</v>
      </c>
      <c r="D11" s="9" t="s">
        <v>59</v>
      </c>
      <c r="E11" s="16" t="s">
        <v>71</v>
      </c>
    </row>
    <row r="12" spans="1:10" ht="18" thickBot="1" x14ac:dyDescent="0.2">
      <c r="A12" s="35">
        <v>46148</v>
      </c>
      <c r="B12" s="8" t="s">
        <v>124</v>
      </c>
      <c r="C12" s="28">
        <v>2100</v>
      </c>
      <c r="D12" s="9" t="s">
        <v>59</v>
      </c>
      <c r="E12" s="16" t="s">
        <v>71</v>
      </c>
    </row>
    <row r="13" spans="1:10" s="2" customFormat="1" ht="18" thickBot="1" x14ac:dyDescent="0.2">
      <c r="A13" s="35">
        <v>46148</v>
      </c>
      <c r="B13" s="8" t="s">
        <v>123</v>
      </c>
      <c r="C13" s="28">
        <v>8418</v>
      </c>
      <c r="D13" s="9" t="s">
        <v>59</v>
      </c>
      <c r="E13" s="16" t="s">
        <v>71</v>
      </c>
      <c r="H13"/>
      <c r="I13"/>
      <c r="J13"/>
    </row>
    <row r="14" spans="1:10" ht="18" thickBot="1" x14ac:dyDescent="0.2">
      <c r="A14" s="35">
        <v>46148</v>
      </c>
      <c r="B14" s="8" t="s">
        <v>125</v>
      </c>
      <c r="C14" s="28">
        <v>3584</v>
      </c>
      <c r="D14" s="9" t="s">
        <v>59</v>
      </c>
      <c r="E14" s="16" t="s">
        <v>71</v>
      </c>
    </row>
    <row r="15" spans="1:10" ht="18" thickBot="1" x14ac:dyDescent="0.2">
      <c r="A15" s="35">
        <v>46148</v>
      </c>
      <c r="B15" s="8" t="s">
        <v>126</v>
      </c>
      <c r="C15" s="28">
        <v>2200</v>
      </c>
      <c r="D15" s="9" t="s">
        <v>59</v>
      </c>
      <c r="E15" s="16" t="s">
        <v>71</v>
      </c>
    </row>
    <row r="16" spans="1:10" ht="18" thickBot="1" x14ac:dyDescent="0.2">
      <c r="A16" s="35">
        <v>46148</v>
      </c>
      <c r="B16" s="8" t="s">
        <v>127</v>
      </c>
      <c r="C16" s="28">
        <v>2220</v>
      </c>
      <c r="D16" s="9" t="s">
        <v>59</v>
      </c>
      <c r="E16" s="16" t="s">
        <v>71</v>
      </c>
    </row>
    <row r="17" spans="1:10" ht="18" thickBot="1" x14ac:dyDescent="0.2">
      <c r="A17" s="35">
        <v>46148</v>
      </c>
      <c r="B17" s="8" t="s">
        <v>128</v>
      </c>
      <c r="C17" s="28">
        <v>2930</v>
      </c>
      <c r="D17" s="9" t="s">
        <v>60</v>
      </c>
      <c r="E17" s="16" t="s">
        <v>71</v>
      </c>
    </row>
    <row r="18" spans="1:10" ht="18" thickBot="1" x14ac:dyDescent="0.2">
      <c r="A18" s="35">
        <v>46148</v>
      </c>
      <c r="B18" s="40" t="s">
        <v>130</v>
      </c>
      <c r="C18" s="28">
        <v>1300</v>
      </c>
      <c r="D18" s="9" t="s">
        <v>59</v>
      </c>
      <c r="E18" s="16" t="s">
        <v>71</v>
      </c>
    </row>
    <row r="19" spans="1:10" ht="18" thickBot="1" x14ac:dyDescent="0.2">
      <c r="A19" s="35">
        <v>46148</v>
      </c>
      <c r="B19" s="8" t="s">
        <v>129</v>
      </c>
      <c r="C19" s="28">
        <v>900</v>
      </c>
      <c r="D19" s="9" t="s">
        <v>59</v>
      </c>
      <c r="E19" s="16" t="s">
        <v>71</v>
      </c>
    </row>
    <row r="20" spans="1:10" s="2" customFormat="1" ht="18" thickBot="1" x14ac:dyDescent="0.2">
      <c r="A20" s="35">
        <v>46148</v>
      </c>
      <c r="B20" s="38" t="s">
        <v>132</v>
      </c>
      <c r="C20" s="28">
        <v>3858.33</v>
      </c>
      <c r="D20" s="9" t="s">
        <v>59</v>
      </c>
      <c r="E20" s="16" t="s">
        <v>71</v>
      </c>
      <c r="H20"/>
      <c r="I20"/>
      <c r="J20"/>
    </row>
    <row r="21" spans="1:10" ht="18" thickBot="1" x14ac:dyDescent="0.2">
      <c r="A21" s="35">
        <v>46148</v>
      </c>
      <c r="B21" s="8" t="s">
        <v>133</v>
      </c>
      <c r="C21" s="28">
        <v>1070</v>
      </c>
      <c r="D21" s="37" t="s">
        <v>46</v>
      </c>
      <c r="E21" s="16" t="s">
        <v>71</v>
      </c>
    </row>
    <row r="22" spans="1:10" ht="18" thickBot="1" x14ac:dyDescent="0.2">
      <c r="A22" s="35">
        <v>46148</v>
      </c>
      <c r="B22" s="8" t="s">
        <v>134</v>
      </c>
      <c r="C22" s="28">
        <v>2620</v>
      </c>
      <c r="D22" s="9" t="s">
        <v>59</v>
      </c>
      <c r="E22" s="16" t="s">
        <v>71</v>
      </c>
    </row>
    <row r="23" spans="1:10" ht="18" thickBot="1" x14ac:dyDescent="0.2">
      <c r="A23" s="35">
        <v>46148</v>
      </c>
      <c r="B23" s="8" t="s">
        <v>135</v>
      </c>
      <c r="C23" s="28">
        <v>3009.8</v>
      </c>
      <c r="D23" s="9" t="s">
        <v>59</v>
      </c>
      <c r="E23" s="16" t="s">
        <v>71</v>
      </c>
    </row>
    <row r="24" spans="1:10" ht="18" thickBot="1" x14ac:dyDescent="0.2">
      <c r="A24" s="35">
        <v>46148</v>
      </c>
      <c r="B24" s="8" t="s">
        <v>72</v>
      </c>
      <c r="C24" s="28">
        <v>31394</v>
      </c>
      <c r="D24" s="9" t="s">
        <v>59</v>
      </c>
      <c r="E24" s="16" t="s">
        <v>71</v>
      </c>
    </row>
    <row r="25" spans="1:10" ht="18" thickBot="1" x14ac:dyDescent="0.2">
      <c r="A25" s="35">
        <v>46149</v>
      </c>
      <c r="B25" s="8" t="s">
        <v>209</v>
      </c>
      <c r="C25" s="28">
        <v>14522</v>
      </c>
      <c r="D25" s="9" t="s">
        <v>59</v>
      </c>
      <c r="E25" s="16" t="s">
        <v>71</v>
      </c>
    </row>
    <row r="26" spans="1:10" ht="18" thickBot="1" x14ac:dyDescent="0.2">
      <c r="A26" s="35">
        <v>46150</v>
      </c>
      <c r="B26" s="8" t="s">
        <v>136</v>
      </c>
      <c r="C26" s="28">
        <v>2141.1999999999998</v>
      </c>
      <c r="D26" s="9" t="s">
        <v>59</v>
      </c>
      <c r="E26" s="16" t="s">
        <v>71</v>
      </c>
    </row>
    <row r="27" spans="1:10" ht="18" thickBot="1" x14ac:dyDescent="0.2">
      <c r="A27" s="35">
        <v>46148</v>
      </c>
      <c r="B27" s="8" t="s">
        <v>74</v>
      </c>
      <c r="C27" s="28">
        <v>148</v>
      </c>
      <c r="D27" s="9" t="s">
        <v>59</v>
      </c>
      <c r="E27" s="16" t="s">
        <v>71</v>
      </c>
    </row>
    <row r="28" spans="1:10" ht="18" thickBot="1" x14ac:dyDescent="0.2">
      <c r="A28" s="35">
        <v>46149</v>
      </c>
      <c r="B28" s="8" t="s">
        <v>75</v>
      </c>
      <c r="C28" s="28">
        <v>195</v>
      </c>
      <c r="D28" s="9" t="s">
        <v>59</v>
      </c>
      <c r="E28" s="16" t="s">
        <v>71</v>
      </c>
    </row>
    <row r="29" spans="1:10" ht="18" thickBot="1" x14ac:dyDescent="0.2">
      <c r="A29" s="35">
        <v>46151</v>
      </c>
      <c r="B29" s="8" t="s">
        <v>139</v>
      </c>
      <c r="C29" s="28">
        <v>17280</v>
      </c>
      <c r="D29" s="39" t="s">
        <v>95</v>
      </c>
      <c r="E29" s="16" t="s">
        <v>71</v>
      </c>
    </row>
    <row r="30" spans="1:10" ht="18" thickBot="1" x14ac:dyDescent="0.2">
      <c r="A30" s="35">
        <v>46151</v>
      </c>
      <c r="B30" s="8" t="s">
        <v>140</v>
      </c>
      <c r="C30" s="28">
        <v>3802</v>
      </c>
      <c r="D30" s="9" t="s">
        <v>59</v>
      </c>
      <c r="E30" s="16" t="s">
        <v>71</v>
      </c>
    </row>
    <row r="31" spans="1:10" ht="18" thickBot="1" x14ac:dyDescent="0.2">
      <c r="A31" s="35">
        <v>46151</v>
      </c>
      <c r="B31" s="8" t="s">
        <v>137</v>
      </c>
      <c r="C31" s="28">
        <v>301.68</v>
      </c>
      <c r="D31" s="9" t="s">
        <v>59</v>
      </c>
      <c r="E31" s="16" t="s">
        <v>71</v>
      </c>
    </row>
    <row r="32" spans="1:10" s="2" customFormat="1" ht="18" thickBot="1" x14ac:dyDescent="0.2">
      <c r="A32" s="35">
        <v>46151</v>
      </c>
      <c r="B32" s="8" t="s">
        <v>138</v>
      </c>
      <c r="C32" s="28">
        <v>7293.9</v>
      </c>
      <c r="D32" s="9" t="s">
        <v>59</v>
      </c>
      <c r="E32" s="16" t="s">
        <v>71</v>
      </c>
      <c r="H32"/>
      <c r="I32"/>
      <c r="J32"/>
    </row>
    <row r="33" spans="1:10" s="2" customFormat="1" ht="18" thickBot="1" x14ac:dyDescent="0.2">
      <c r="A33" s="35">
        <v>46156</v>
      </c>
      <c r="B33" s="8" t="s">
        <v>141</v>
      </c>
      <c r="C33" s="28">
        <v>217</v>
      </c>
      <c r="D33" s="9" t="s">
        <v>59</v>
      </c>
      <c r="E33" s="16" t="s">
        <v>71</v>
      </c>
      <c r="H33"/>
      <c r="I33"/>
      <c r="J33"/>
    </row>
    <row r="34" spans="1:10" ht="18" thickBot="1" x14ac:dyDescent="0.2">
      <c r="A34" s="35">
        <v>46156</v>
      </c>
      <c r="B34" s="8" t="s">
        <v>142</v>
      </c>
      <c r="C34" s="28">
        <v>687</v>
      </c>
      <c r="D34" s="37" t="s">
        <v>59</v>
      </c>
      <c r="E34" s="16" t="s">
        <v>71</v>
      </c>
    </row>
    <row r="35" spans="1:10" ht="18" thickBot="1" x14ac:dyDescent="0.2">
      <c r="A35" s="35">
        <v>46157</v>
      </c>
      <c r="B35" s="8" t="s">
        <v>104</v>
      </c>
      <c r="C35" s="28">
        <v>308</v>
      </c>
      <c r="D35" s="9" t="s">
        <v>59</v>
      </c>
      <c r="E35" s="16" t="s">
        <v>71</v>
      </c>
    </row>
    <row r="36" spans="1:10" ht="18" thickBot="1" x14ac:dyDescent="0.2">
      <c r="A36" s="35">
        <v>46158</v>
      </c>
      <c r="B36" s="8" t="s">
        <v>105</v>
      </c>
      <c r="C36" s="28">
        <v>308</v>
      </c>
      <c r="D36" s="9" t="s">
        <v>59</v>
      </c>
      <c r="E36" s="16" t="s">
        <v>71</v>
      </c>
    </row>
    <row r="37" spans="1:10" ht="17.25" x14ac:dyDescent="0.15">
      <c r="A37" s="42">
        <v>46161</v>
      </c>
      <c r="B37" s="8" t="s">
        <v>106</v>
      </c>
      <c r="C37" s="34">
        <v>211.98</v>
      </c>
      <c r="D37" s="9" t="s">
        <v>59</v>
      </c>
      <c r="E37" s="16" t="s">
        <v>71</v>
      </c>
    </row>
    <row r="38" spans="1:10" s="2" customFormat="1" ht="17.25" x14ac:dyDescent="0.15">
      <c r="A38" s="6">
        <v>46163</v>
      </c>
      <c r="B38" s="8" t="s">
        <v>107</v>
      </c>
      <c r="C38" s="34">
        <v>49</v>
      </c>
      <c r="D38" s="9" t="s">
        <v>59</v>
      </c>
      <c r="E38" s="16" t="s">
        <v>71</v>
      </c>
      <c r="H38"/>
      <c r="I38"/>
      <c r="J38"/>
    </row>
    <row r="39" spans="1:10" s="2" customFormat="1" ht="17.25" x14ac:dyDescent="0.15">
      <c r="A39" s="6">
        <v>46165</v>
      </c>
      <c r="B39" s="8" t="s">
        <v>143</v>
      </c>
      <c r="C39" s="28">
        <v>1142.21</v>
      </c>
      <c r="D39" s="9" t="s">
        <v>59</v>
      </c>
      <c r="E39" s="16" t="s">
        <v>71</v>
      </c>
      <c r="H39"/>
      <c r="I39"/>
      <c r="J39"/>
    </row>
    <row r="40" spans="1:10" s="2" customFormat="1" ht="17.25" x14ac:dyDescent="0.15">
      <c r="A40" s="6">
        <v>46170</v>
      </c>
      <c r="B40" s="8" t="s">
        <v>144</v>
      </c>
      <c r="C40" s="28">
        <v>103.6</v>
      </c>
      <c r="D40" s="9" t="s">
        <v>59</v>
      </c>
      <c r="E40" s="16" t="s">
        <v>71</v>
      </c>
      <c r="H40"/>
      <c r="I40"/>
      <c r="J40"/>
    </row>
    <row r="41" spans="1:10" s="2" customFormat="1" ht="17.25" x14ac:dyDescent="0.15">
      <c r="A41" s="6">
        <v>46172</v>
      </c>
      <c r="B41" s="8" t="s">
        <v>145</v>
      </c>
      <c r="C41" s="28">
        <v>847.5</v>
      </c>
      <c r="D41" s="9" t="s">
        <v>59</v>
      </c>
      <c r="E41" s="16" t="s">
        <v>71</v>
      </c>
      <c r="H41"/>
      <c r="I41"/>
      <c r="J41"/>
    </row>
    <row r="42" spans="1:10" ht="17.25" x14ac:dyDescent="0.15">
      <c r="A42" s="6"/>
      <c r="D42" s="9"/>
      <c r="E42" s="16"/>
    </row>
    <row r="43" spans="1:10" s="2" customFormat="1" ht="17.25" x14ac:dyDescent="0.15">
      <c r="A43" s="6"/>
      <c r="C43" s="28"/>
      <c r="D43" s="9"/>
      <c r="E43" s="16"/>
      <c r="H43"/>
      <c r="I43"/>
      <c r="J43"/>
    </row>
    <row r="44" spans="1:10" s="2" customFormat="1" ht="17.25" x14ac:dyDescent="0.15">
      <c r="A44" s="6"/>
      <c r="B44" s="8"/>
      <c r="C44" s="28"/>
      <c r="D44" s="9"/>
      <c r="E44" s="16"/>
      <c r="H44"/>
      <c r="I44"/>
      <c r="J44"/>
    </row>
    <row r="45" spans="1:10" s="2" customFormat="1" ht="17.25" x14ac:dyDescent="0.15">
      <c r="A45" s="6"/>
      <c r="B45" s="8"/>
      <c r="C45" s="28"/>
      <c r="D45" s="9"/>
      <c r="E45" s="31"/>
      <c r="H45"/>
      <c r="I45"/>
      <c r="J45"/>
    </row>
    <row r="46" spans="1:10" s="2" customFormat="1" ht="17.25" x14ac:dyDescent="0.15">
      <c r="A46" s="6"/>
      <c r="B46" s="8"/>
      <c r="C46" s="28"/>
      <c r="D46" s="9"/>
      <c r="E46" s="31"/>
      <c r="H46"/>
      <c r="I46"/>
      <c r="J46"/>
    </row>
    <row r="47" spans="1:10" s="2" customFormat="1" ht="17.25" x14ac:dyDescent="0.15">
      <c r="A47" s="6"/>
      <c r="B47" s="8"/>
      <c r="C47" s="28"/>
      <c r="D47" s="9"/>
      <c r="E47" s="31"/>
      <c r="H47"/>
      <c r="I47"/>
      <c r="J47"/>
    </row>
    <row r="48" spans="1:10" s="2" customFormat="1" ht="17.25" x14ac:dyDescent="0.15">
      <c r="A48" s="6"/>
      <c r="B48" s="8"/>
      <c r="C48" s="28"/>
      <c r="D48" s="9"/>
      <c r="E48" s="31"/>
      <c r="H48"/>
      <c r="I48"/>
      <c r="J48"/>
    </row>
    <row r="49" spans="1:10" s="2" customFormat="1" ht="17.25" x14ac:dyDescent="0.15">
      <c r="A49" s="6"/>
      <c r="B49" s="8"/>
      <c r="C49" s="28"/>
      <c r="D49" s="9"/>
      <c r="E49" s="31"/>
      <c r="H49"/>
      <c r="I49"/>
      <c r="J49"/>
    </row>
    <row r="50" spans="1:10" s="2" customFormat="1" ht="17.25" x14ac:dyDescent="0.15">
      <c r="A50" s="6"/>
      <c r="B50" s="8"/>
      <c r="C50" s="28"/>
      <c r="D50" s="9"/>
      <c r="E50" s="31"/>
      <c r="H50"/>
      <c r="I50"/>
      <c r="J50"/>
    </row>
    <row r="51" spans="1:10" s="2" customFormat="1" ht="17.25" x14ac:dyDescent="0.15">
      <c r="A51" s="6"/>
      <c r="B51" s="8"/>
      <c r="C51" s="28"/>
      <c r="D51" s="9"/>
      <c r="E51" s="31"/>
      <c r="H51"/>
      <c r="I51"/>
      <c r="J51"/>
    </row>
    <row r="52" spans="1:10" s="2" customFormat="1" ht="17.25" x14ac:dyDescent="0.15">
      <c r="A52" s="6"/>
      <c r="B52" s="8"/>
      <c r="C52" s="28"/>
      <c r="D52" s="9"/>
      <c r="E52" s="16"/>
      <c r="H52"/>
      <c r="I52"/>
      <c r="J52"/>
    </row>
    <row r="53" spans="1:10" s="2" customFormat="1" ht="17.25" x14ac:dyDescent="0.15">
      <c r="A53" s="6"/>
      <c r="B53" s="8"/>
      <c r="C53" s="28"/>
      <c r="D53" s="9"/>
      <c r="E53" s="31"/>
      <c r="H53"/>
      <c r="I53"/>
      <c r="J53"/>
    </row>
    <row r="54" spans="1:10" s="2" customFormat="1" ht="17.25" x14ac:dyDescent="0.15">
      <c r="A54" s="6"/>
      <c r="B54" s="8"/>
      <c r="C54" s="28"/>
      <c r="D54" s="9"/>
      <c r="E54" s="16"/>
      <c r="H54"/>
      <c r="I54"/>
      <c r="J54"/>
    </row>
    <row r="55" spans="1:10" s="2" customFormat="1" ht="17.25" x14ac:dyDescent="0.15">
      <c r="A55" s="6"/>
      <c r="B55" s="36"/>
      <c r="C55" s="28"/>
      <c r="D55" s="9"/>
      <c r="E55" s="31"/>
      <c r="H55"/>
      <c r="I55"/>
      <c r="J55"/>
    </row>
    <row r="56" spans="1:10" s="2" customFormat="1" ht="17.25" x14ac:dyDescent="0.15">
      <c r="A56" s="6"/>
      <c r="B56" s="36"/>
      <c r="C56" s="28"/>
      <c r="D56" s="9"/>
      <c r="E56" s="31"/>
      <c r="H56"/>
      <c r="I56"/>
      <c r="J56"/>
    </row>
    <row r="57" spans="1:10" s="2" customFormat="1" ht="17.25" x14ac:dyDescent="0.15">
      <c r="A57" s="6"/>
      <c r="B57" s="36"/>
      <c r="C57" s="28"/>
      <c r="D57" s="9"/>
      <c r="E57" s="31"/>
      <c r="H57"/>
      <c r="I57"/>
      <c r="J57"/>
    </row>
    <row r="58" spans="1:10" s="2" customFormat="1" ht="17.25" x14ac:dyDescent="0.15">
      <c r="A58" s="6"/>
      <c r="B58" s="36"/>
      <c r="C58" s="28"/>
      <c r="D58" s="9"/>
      <c r="E58" s="31"/>
      <c r="H58"/>
      <c r="I58"/>
      <c r="J58"/>
    </row>
    <row r="59" spans="1:10" s="2" customFormat="1" ht="17.25" x14ac:dyDescent="0.15">
      <c r="A59" s="6"/>
      <c r="B59" s="36"/>
      <c r="C59" s="28"/>
      <c r="D59" s="9"/>
      <c r="E59" s="31"/>
      <c r="H59"/>
      <c r="I59"/>
      <c r="J59"/>
    </row>
    <row r="60" spans="1:10" s="2" customFormat="1" ht="17.25" x14ac:dyDescent="0.15">
      <c r="A60" s="6"/>
      <c r="B60" s="36"/>
      <c r="C60" s="28"/>
      <c r="D60" s="9"/>
      <c r="E60" s="31"/>
      <c r="H60"/>
      <c r="I60"/>
      <c r="J60"/>
    </row>
    <row r="61" spans="1:10" s="2" customFormat="1" ht="17.25" x14ac:dyDescent="0.15">
      <c r="A61" s="6"/>
      <c r="B61" s="36"/>
      <c r="C61" s="33"/>
      <c r="D61" s="9"/>
      <c r="E61" s="31"/>
      <c r="H61"/>
      <c r="I61"/>
      <c r="J61"/>
    </row>
    <row r="62" spans="1:10" s="2" customFormat="1" ht="17.25" x14ac:dyDescent="0.15">
      <c r="A62" s="6"/>
      <c r="B62" s="8"/>
      <c r="C62" s="28"/>
      <c r="D62" s="9"/>
      <c r="E62" s="24"/>
      <c r="H62"/>
      <c r="I62"/>
      <c r="J62"/>
    </row>
    <row r="63" spans="1:10" s="2" customFormat="1" ht="17.25" x14ac:dyDescent="0.15">
      <c r="A63" s="6"/>
      <c r="B63" s="8"/>
      <c r="C63" s="28"/>
      <c r="D63" s="9"/>
      <c r="E63" s="31"/>
      <c r="H63"/>
      <c r="I63"/>
      <c r="J63"/>
    </row>
    <row r="64" spans="1:10" ht="17.25" x14ac:dyDescent="0.15">
      <c r="A64" s="6"/>
      <c r="B64" s="36"/>
      <c r="D64" s="9"/>
      <c r="E64" s="31"/>
    </row>
    <row r="65" spans="1:10" ht="17.25" x14ac:dyDescent="0.15">
      <c r="A65" s="6"/>
      <c r="B65" s="36"/>
      <c r="D65" s="9"/>
      <c r="E65" s="31"/>
    </row>
    <row r="66" spans="1:10" ht="17.25" x14ac:dyDescent="0.15">
      <c r="A66" s="6"/>
      <c r="D66" s="9"/>
      <c r="E66" s="24"/>
    </row>
    <row r="67" spans="1:10" s="2" customFormat="1" ht="17.25" x14ac:dyDescent="0.15">
      <c r="A67" s="32"/>
      <c r="B67" s="8"/>
      <c r="C67" s="28"/>
      <c r="D67" s="9"/>
      <c r="E67" s="31"/>
      <c r="H67"/>
      <c r="I67"/>
      <c r="J67"/>
    </row>
    <row r="68" spans="1:10" s="2" customFormat="1" ht="17.25" x14ac:dyDescent="0.15">
      <c r="A68" s="32"/>
      <c r="B68" s="8"/>
      <c r="C68" s="28"/>
      <c r="D68" s="9"/>
      <c r="E68" s="31"/>
      <c r="H68"/>
      <c r="I68"/>
      <c r="J68"/>
    </row>
    <row r="69" spans="1:10" s="2" customFormat="1" ht="17.25" x14ac:dyDescent="0.15">
      <c r="A69" s="6"/>
      <c r="B69" s="36"/>
      <c r="C69" s="28"/>
      <c r="D69" s="9"/>
      <c r="E69" s="16"/>
      <c r="H69"/>
      <c r="I69"/>
      <c r="J69"/>
    </row>
    <row r="70" spans="1:10" s="2" customFormat="1" ht="17.25" x14ac:dyDescent="0.15">
      <c r="A70" s="6"/>
      <c r="B70" s="8"/>
      <c r="C70" s="28"/>
      <c r="E70" s="24"/>
      <c r="H70"/>
      <c r="I70"/>
      <c r="J70"/>
    </row>
    <row r="71" spans="1:10" s="2" customFormat="1" x14ac:dyDescent="0.15">
      <c r="A71" s="6"/>
      <c r="B71" s="8"/>
      <c r="C71" s="28"/>
      <c r="H71"/>
      <c r="I71"/>
      <c r="J71"/>
    </row>
    <row r="72" spans="1:10" s="2" customFormat="1" x14ac:dyDescent="0.15">
      <c r="A72" s="6"/>
      <c r="B72" s="8"/>
      <c r="C72" s="28"/>
      <c r="H72"/>
      <c r="I72"/>
      <c r="J72"/>
    </row>
    <row r="73" spans="1:10" s="2" customFormat="1" x14ac:dyDescent="0.15">
      <c r="A73" s="6"/>
      <c r="B73" s="8"/>
      <c r="C73" s="28"/>
      <c r="H73"/>
      <c r="I73"/>
      <c r="J73"/>
    </row>
    <row r="74" spans="1:10" s="2" customFormat="1" ht="17.25" x14ac:dyDescent="0.15">
      <c r="A74" s="6"/>
      <c r="B74" s="8"/>
      <c r="C74" s="28"/>
      <c r="E74" s="24"/>
      <c r="H74"/>
      <c r="I74"/>
      <c r="J74"/>
    </row>
    <row r="75" spans="1:10" s="2" customFormat="1" x14ac:dyDescent="0.15">
      <c r="A75" s="6"/>
      <c r="B75" s="8"/>
      <c r="C75" s="28"/>
      <c r="H75"/>
      <c r="I75"/>
      <c r="J75"/>
    </row>
    <row r="76" spans="1:10" s="2" customFormat="1" x14ac:dyDescent="0.15">
      <c r="A76" s="6"/>
      <c r="B76" s="8"/>
      <c r="C76" s="28"/>
      <c r="H76"/>
      <c r="I76"/>
      <c r="J76"/>
    </row>
    <row r="77" spans="1:10" s="2" customFormat="1" ht="17.25" x14ac:dyDescent="0.15">
      <c r="A77" s="6"/>
      <c r="B77" s="8"/>
      <c r="C77" s="28"/>
      <c r="E77" s="24"/>
      <c r="H77"/>
      <c r="I77"/>
      <c r="J77"/>
    </row>
    <row r="78" spans="1:10" s="2" customFormat="1" ht="17.25" x14ac:dyDescent="0.15">
      <c r="A78" s="6"/>
      <c r="B78" s="8"/>
      <c r="C78" s="28"/>
      <c r="E78" s="24"/>
      <c r="H78"/>
      <c r="I78"/>
      <c r="J78"/>
    </row>
    <row r="79" spans="1:10" s="2" customFormat="1" x14ac:dyDescent="0.15">
      <c r="A79" s="6"/>
      <c r="B79" s="8"/>
      <c r="C79" s="28"/>
      <c r="H79"/>
      <c r="I79"/>
      <c r="J79"/>
    </row>
    <row r="80" spans="1:10" s="2" customFormat="1" x14ac:dyDescent="0.15">
      <c r="A80" s="6"/>
      <c r="B80" s="8"/>
      <c r="C80" s="28"/>
      <c r="H80"/>
      <c r="I80"/>
      <c r="J80"/>
    </row>
    <row r="81" spans="1:10" s="2" customFormat="1" x14ac:dyDescent="0.15">
      <c r="A81" s="6"/>
      <c r="B81" s="8"/>
      <c r="C81" s="28"/>
      <c r="H81"/>
      <c r="I81"/>
      <c r="J81"/>
    </row>
    <row r="82" spans="1:10" s="2" customFormat="1" x14ac:dyDescent="0.15">
      <c r="A82" s="6"/>
      <c r="B82" s="8"/>
      <c r="C82" s="28"/>
      <c r="H82"/>
      <c r="I82"/>
      <c r="J82"/>
    </row>
    <row r="83" spans="1:10" s="2" customFormat="1" x14ac:dyDescent="0.15">
      <c r="A83" s="6"/>
      <c r="B83" s="8"/>
      <c r="C83" s="28"/>
      <c r="H83"/>
      <c r="I83"/>
      <c r="J83"/>
    </row>
    <row r="84" spans="1:10" s="2" customFormat="1" x14ac:dyDescent="0.15">
      <c r="A84" s="6"/>
      <c r="B84" s="36"/>
      <c r="C84" s="28"/>
      <c r="H84"/>
      <c r="I84"/>
      <c r="J84"/>
    </row>
    <row r="85" spans="1:10" s="2" customFormat="1" ht="17.25" x14ac:dyDescent="0.15">
      <c r="A85" s="6"/>
      <c r="B85" s="29"/>
      <c r="C85" s="28"/>
      <c r="E85" s="24"/>
      <c r="H85"/>
      <c r="I85"/>
      <c r="J85"/>
    </row>
    <row r="86" spans="1:10" s="2" customFormat="1" x14ac:dyDescent="0.15">
      <c r="A86" s="6"/>
      <c r="B86" s="8"/>
      <c r="C86" s="28"/>
      <c r="H86"/>
      <c r="I86"/>
      <c r="J86"/>
    </row>
    <row r="87" spans="1:10" s="2" customFormat="1" ht="17.25" x14ac:dyDescent="0.15">
      <c r="A87" s="6"/>
      <c r="B87" s="29"/>
      <c r="C87" s="28"/>
      <c r="E87" s="24"/>
      <c r="H87"/>
      <c r="I87"/>
      <c r="J87"/>
    </row>
    <row r="88" spans="1:10" s="2" customFormat="1" ht="17.25" x14ac:dyDescent="0.15">
      <c r="A88" s="6"/>
      <c r="B88" s="29"/>
      <c r="C88" s="28"/>
      <c r="H88"/>
      <c r="I88"/>
      <c r="J88"/>
    </row>
    <row r="89" spans="1:10" s="2" customFormat="1" ht="17.25" x14ac:dyDescent="0.15">
      <c r="A89" s="6"/>
      <c r="B89" s="8"/>
      <c r="C89" s="28"/>
      <c r="E89" s="24"/>
      <c r="H89"/>
      <c r="I89"/>
      <c r="J89"/>
    </row>
    <row r="90" spans="1:10" s="2" customFormat="1" x14ac:dyDescent="0.15">
      <c r="A90" s="6"/>
      <c r="B90" s="8"/>
      <c r="C90" s="28"/>
      <c r="H90"/>
      <c r="I90"/>
      <c r="J90"/>
    </row>
  </sheetData>
  <phoneticPr fontId="1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095388F-9976-8D49-8443-6D87D9908790}">
          <x14:formula1>
            <xm:f>清單名稱!$A$2:$A$5</xm:f>
          </x14:formula1>
          <xm:sqref>D1:D28 D30:D1048576</xm:sqref>
        </x14:dataValidation>
        <x14:dataValidation type="list" allowBlank="1" showInputMessage="1" showErrorMessage="1" xr:uid="{57B4016C-82EA-8B4D-9FA3-8F78551E7654}">
          <x14:formula1>
            <xm:f>清單名稱!$C:$C</xm:f>
          </x14:formula1>
          <xm:sqref>G67:G1048576 G20 G43:G63 G26 G17:G18 G32:G41 G1:G15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3144-2AF5-2B42-B597-412D93F1F82A}">
  <dimension ref="A1:J94"/>
  <sheetViews>
    <sheetView topLeftCell="A18" zoomScaleNormal="10" workbookViewId="0">
      <selection activeCell="B43" sqref="B43"/>
    </sheetView>
  </sheetViews>
  <sheetFormatPr defaultColWidth="11.04296875" defaultRowHeight="15" x14ac:dyDescent="0.15"/>
  <cols>
    <col min="2" max="2" width="62.13671875" style="8" customWidth="1"/>
    <col min="3" max="3" width="22.8828125" style="28" customWidth="1"/>
    <col min="4" max="4" width="9.4453125" style="2" customWidth="1"/>
    <col min="5" max="5" width="8.51171875" style="2" customWidth="1"/>
    <col min="6" max="6" width="21.15234375" style="2" customWidth="1"/>
    <col min="7" max="7" width="22.8828125" style="2" customWidth="1"/>
    <col min="8" max="8" width="11.04296875" bestFit="1" customWidth="1"/>
    <col min="9" max="9" width="1.4609375" customWidth="1"/>
    <col min="10" max="10" width="21.5546875" customWidth="1"/>
  </cols>
  <sheetData>
    <row r="1" spans="1:10" ht="15.75" thickBot="1" x14ac:dyDescent="0.2">
      <c r="A1" s="1" t="s">
        <v>0</v>
      </c>
      <c r="B1" s="7" t="s">
        <v>1</v>
      </c>
      <c r="C1" s="27" t="s">
        <v>31</v>
      </c>
      <c r="D1" s="3" t="s">
        <v>44</v>
      </c>
      <c r="E1" s="3" t="s">
        <v>2</v>
      </c>
      <c r="F1" s="3" t="s">
        <v>3</v>
      </c>
      <c r="G1" s="3" t="s">
        <v>4</v>
      </c>
      <c r="I1" s="10"/>
      <c r="J1" s="10"/>
    </row>
    <row r="2" spans="1:10" ht="18" thickBot="1" x14ac:dyDescent="0.2">
      <c r="A2" s="35">
        <v>46174</v>
      </c>
      <c r="B2" s="8" t="s">
        <v>147</v>
      </c>
      <c r="C2" s="34">
        <v>15000</v>
      </c>
      <c r="D2" s="37" t="s">
        <v>46</v>
      </c>
      <c r="E2" s="16" t="s">
        <v>71</v>
      </c>
      <c r="H2" s="11"/>
    </row>
    <row r="3" spans="1:10" ht="18" thickBot="1" x14ac:dyDescent="0.2">
      <c r="A3" s="35">
        <v>46176</v>
      </c>
      <c r="B3" s="8" t="s">
        <v>146</v>
      </c>
      <c r="C3" s="34">
        <v>4000</v>
      </c>
      <c r="D3" s="37" t="s">
        <v>46</v>
      </c>
      <c r="E3" s="16" t="s">
        <v>71</v>
      </c>
      <c r="H3" s="11"/>
    </row>
    <row r="4" spans="1:10" ht="18" thickBot="1" x14ac:dyDescent="0.2">
      <c r="A4" s="35">
        <v>46177</v>
      </c>
      <c r="B4" s="41" t="s">
        <v>148</v>
      </c>
      <c r="C4" s="34">
        <v>3700</v>
      </c>
      <c r="D4" s="9" t="s">
        <v>59</v>
      </c>
      <c r="E4" s="16" t="s">
        <v>71</v>
      </c>
      <c r="H4" s="11"/>
    </row>
    <row r="5" spans="1:10" ht="18" thickBot="1" x14ac:dyDescent="0.2">
      <c r="A5" s="35">
        <v>46177</v>
      </c>
      <c r="B5" s="8" t="s">
        <v>110</v>
      </c>
      <c r="C5" s="34">
        <v>108</v>
      </c>
      <c r="D5" s="9" t="s">
        <v>111</v>
      </c>
      <c r="E5" s="16" t="s">
        <v>71</v>
      </c>
    </row>
    <row r="6" spans="1:10" ht="18" thickBot="1" x14ac:dyDescent="0.2">
      <c r="A6" s="35">
        <v>46178</v>
      </c>
      <c r="B6" s="8" t="s">
        <v>181</v>
      </c>
      <c r="C6" s="28">
        <v>148</v>
      </c>
      <c r="D6" s="9" t="s">
        <v>59</v>
      </c>
      <c r="E6" s="16" t="s">
        <v>71</v>
      </c>
    </row>
    <row r="7" spans="1:10" ht="18" thickBot="1" x14ac:dyDescent="0.2">
      <c r="A7" s="35">
        <v>46178</v>
      </c>
      <c r="B7" s="8" t="s">
        <v>75</v>
      </c>
      <c r="C7" s="28">
        <v>195</v>
      </c>
      <c r="D7" s="9" t="s">
        <v>59</v>
      </c>
      <c r="E7" s="16" t="s">
        <v>71</v>
      </c>
    </row>
    <row r="8" spans="1:10" ht="18" thickBot="1" x14ac:dyDescent="0.2">
      <c r="A8" s="35">
        <v>46180</v>
      </c>
      <c r="B8" s="41" t="s">
        <v>149</v>
      </c>
      <c r="C8" s="28">
        <v>15200</v>
      </c>
      <c r="D8" s="9" t="s">
        <v>59</v>
      </c>
      <c r="E8" s="16" t="s">
        <v>70</v>
      </c>
    </row>
    <row r="9" spans="1:10" ht="18" thickBot="1" x14ac:dyDescent="0.2">
      <c r="A9" s="35">
        <v>46180</v>
      </c>
      <c r="B9" s="8" t="s">
        <v>150</v>
      </c>
      <c r="C9" s="28">
        <v>8000</v>
      </c>
      <c r="D9" s="9" t="s">
        <v>59</v>
      </c>
      <c r="E9" s="16" t="s">
        <v>71</v>
      </c>
    </row>
    <row r="10" spans="1:10" ht="18" thickBot="1" x14ac:dyDescent="0.2">
      <c r="A10" s="35">
        <v>46180</v>
      </c>
      <c r="B10" s="8" t="s">
        <v>151</v>
      </c>
      <c r="C10" s="28">
        <v>416.67</v>
      </c>
      <c r="D10" s="9" t="s">
        <v>59</v>
      </c>
      <c r="E10" s="16" t="s">
        <v>71</v>
      </c>
    </row>
    <row r="11" spans="1:10" ht="18" thickBot="1" x14ac:dyDescent="0.2">
      <c r="A11" s="35">
        <v>46180</v>
      </c>
      <c r="B11" s="8" t="s">
        <v>152</v>
      </c>
      <c r="C11" s="28">
        <v>2580</v>
      </c>
      <c r="D11" s="9" t="s">
        <v>60</v>
      </c>
      <c r="E11" s="16" t="s">
        <v>70</v>
      </c>
    </row>
    <row r="12" spans="1:10" ht="18" thickBot="1" x14ac:dyDescent="0.2">
      <c r="A12" s="35">
        <v>46180</v>
      </c>
      <c r="B12" s="8" t="s">
        <v>153</v>
      </c>
      <c r="C12" s="28">
        <v>1800</v>
      </c>
      <c r="D12" s="9" t="s">
        <v>59</v>
      </c>
      <c r="E12" s="16" t="s">
        <v>71</v>
      </c>
    </row>
    <row r="13" spans="1:10" ht="18" thickBot="1" x14ac:dyDescent="0.2">
      <c r="A13" s="35">
        <v>46180</v>
      </c>
      <c r="B13" s="8" t="s">
        <v>154</v>
      </c>
      <c r="C13" s="28">
        <v>420</v>
      </c>
      <c r="D13" s="9" t="s">
        <v>59</v>
      </c>
      <c r="E13" s="16" t="s">
        <v>71</v>
      </c>
    </row>
    <row r="14" spans="1:10" s="2" customFormat="1" ht="18" thickBot="1" x14ac:dyDescent="0.2">
      <c r="A14" s="35">
        <v>46180</v>
      </c>
      <c r="B14" s="8" t="s">
        <v>155</v>
      </c>
      <c r="C14" s="28">
        <v>11900</v>
      </c>
      <c r="D14" s="9" t="s">
        <v>59</v>
      </c>
      <c r="E14" s="16" t="s">
        <v>71</v>
      </c>
      <c r="H14"/>
      <c r="I14"/>
      <c r="J14"/>
    </row>
    <row r="15" spans="1:10" ht="18" thickBot="1" x14ac:dyDescent="0.2">
      <c r="A15" s="35">
        <v>46180</v>
      </c>
      <c r="B15" s="8" t="s">
        <v>171</v>
      </c>
      <c r="C15" s="28">
        <v>800</v>
      </c>
      <c r="D15" s="9" t="s">
        <v>59</v>
      </c>
      <c r="E15" s="16" t="s">
        <v>71</v>
      </c>
    </row>
    <row r="16" spans="1:10" ht="18" thickBot="1" x14ac:dyDescent="0.2">
      <c r="A16" s="35">
        <v>46180</v>
      </c>
      <c r="B16" s="8" t="s">
        <v>156</v>
      </c>
      <c r="C16" s="28">
        <v>517.5</v>
      </c>
      <c r="D16" s="9" t="s">
        <v>59</v>
      </c>
      <c r="E16" s="16" t="s">
        <v>71</v>
      </c>
    </row>
    <row r="17" spans="1:10" ht="18" thickBot="1" x14ac:dyDescent="0.2">
      <c r="A17" s="35">
        <v>46180</v>
      </c>
      <c r="B17" s="8" t="s">
        <v>157</v>
      </c>
      <c r="C17" s="28">
        <v>3190</v>
      </c>
      <c r="D17" s="9" t="s">
        <v>59</v>
      </c>
      <c r="E17" s="16" t="s">
        <v>71</v>
      </c>
    </row>
    <row r="18" spans="1:10" ht="18" thickBot="1" x14ac:dyDescent="0.2">
      <c r="A18" s="35">
        <v>46180</v>
      </c>
      <c r="B18" s="8" t="s">
        <v>168</v>
      </c>
      <c r="C18" s="28">
        <v>1260</v>
      </c>
      <c r="D18" s="9" t="s">
        <v>59</v>
      </c>
      <c r="E18" s="16" t="s">
        <v>71</v>
      </c>
    </row>
    <row r="19" spans="1:10" ht="18" thickBot="1" x14ac:dyDescent="0.2">
      <c r="A19" s="35">
        <v>46180</v>
      </c>
      <c r="B19" s="8" t="s">
        <v>158</v>
      </c>
      <c r="C19" s="28">
        <v>4400</v>
      </c>
      <c r="D19" s="9" t="s">
        <v>59</v>
      </c>
      <c r="E19" s="16" t="s">
        <v>71</v>
      </c>
    </row>
    <row r="20" spans="1:10" ht="18" thickBot="1" x14ac:dyDescent="0.2">
      <c r="A20" s="35">
        <v>46180</v>
      </c>
      <c r="B20" s="8" t="s">
        <v>169</v>
      </c>
      <c r="C20" s="28">
        <v>315</v>
      </c>
      <c r="D20" s="9" t="s">
        <v>59</v>
      </c>
      <c r="E20" s="16" t="s">
        <v>71</v>
      </c>
    </row>
    <row r="21" spans="1:10" ht="18" thickBot="1" x14ac:dyDescent="0.2">
      <c r="A21" s="35">
        <v>46180</v>
      </c>
      <c r="B21" s="8" t="s">
        <v>159</v>
      </c>
      <c r="C21" s="28">
        <v>2250</v>
      </c>
      <c r="D21" s="9" t="s">
        <v>59</v>
      </c>
      <c r="E21" s="16" t="s">
        <v>71</v>
      </c>
    </row>
    <row r="22" spans="1:10" ht="18" thickBot="1" x14ac:dyDescent="0.2">
      <c r="A22" s="35">
        <v>46180</v>
      </c>
      <c r="B22" s="8" t="s">
        <v>170</v>
      </c>
      <c r="C22" s="28">
        <v>630</v>
      </c>
      <c r="D22" s="9" t="s">
        <v>59</v>
      </c>
      <c r="E22" s="16" t="s">
        <v>71</v>
      </c>
    </row>
    <row r="23" spans="1:10" ht="18" thickBot="1" x14ac:dyDescent="0.2">
      <c r="A23" s="35">
        <v>46180</v>
      </c>
      <c r="B23" s="8" t="s">
        <v>160</v>
      </c>
      <c r="C23" s="28">
        <v>3110</v>
      </c>
      <c r="D23" s="9" t="s">
        <v>59</v>
      </c>
      <c r="E23" s="16" t="s">
        <v>71</v>
      </c>
    </row>
    <row r="24" spans="1:10" s="2" customFormat="1" ht="18" thickBot="1" x14ac:dyDescent="0.2">
      <c r="A24" s="35">
        <v>46180</v>
      </c>
      <c r="B24" s="8" t="s">
        <v>161</v>
      </c>
      <c r="C24" s="28">
        <v>5630</v>
      </c>
      <c r="D24" s="9" t="s">
        <v>60</v>
      </c>
      <c r="E24" s="16" t="s">
        <v>71</v>
      </c>
      <c r="H24"/>
      <c r="I24"/>
      <c r="J24"/>
    </row>
    <row r="25" spans="1:10" ht="18" thickBot="1" x14ac:dyDescent="0.2">
      <c r="A25" s="35">
        <v>46180</v>
      </c>
      <c r="B25" s="40" t="s">
        <v>162</v>
      </c>
      <c r="C25" s="28">
        <v>1060</v>
      </c>
      <c r="D25" s="9" t="s">
        <v>59</v>
      </c>
      <c r="E25" s="16" t="s">
        <v>71</v>
      </c>
    </row>
    <row r="26" spans="1:10" ht="18" thickBot="1" x14ac:dyDescent="0.2">
      <c r="A26" s="35">
        <v>46180</v>
      </c>
      <c r="B26" s="8" t="s">
        <v>163</v>
      </c>
      <c r="C26" s="28">
        <v>1350</v>
      </c>
      <c r="D26" s="9" t="s">
        <v>59</v>
      </c>
      <c r="E26" s="16" t="s">
        <v>71</v>
      </c>
    </row>
    <row r="27" spans="1:10" ht="18" thickBot="1" x14ac:dyDescent="0.2">
      <c r="A27" s="35">
        <v>46180</v>
      </c>
      <c r="B27" s="38" t="s">
        <v>164</v>
      </c>
      <c r="C27" s="28">
        <v>2925</v>
      </c>
      <c r="D27" s="9" t="s">
        <v>59</v>
      </c>
      <c r="E27" s="16" t="s">
        <v>71</v>
      </c>
    </row>
    <row r="28" spans="1:10" ht="18" thickBot="1" x14ac:dyDescent="0.2">
      <c r="A28" s="35">
        <v>46180</v>
      </c>
      <c r="B28" s="8" t="s">
        <v>165</v>
      </c>
      <c r="C28" s="28">
        <v>1570</v>
      </c>
      <c r="D28" s="9" t="s">
        <v>59</v>
      </c>
      <c r="E28" s="16" t="s">
        <v>71</v>
      </c>
    </row>
    <row r="29" spans="1:10" ht="18" thickBot="1" x14ac:dyDescent="0.2">
      <c r="A29" s="35">
        <v>46180</v>
      </c>
      <c r="B29" s="8" t="s">
        <v>166</v>
      </c>
      <c r="C29" s="28">
        <v>3750</v>
      </c>
      <c r="D29" s="37" t="s">
        <v>46</v>
      </c>
      <c r="E29" s="16" t="s">
        <v>71</v>
      </c>
    </row>
    <row r="30" spans="1:10" ht="18" thickBot="1" x14ac:dyDescent="0.2">
      <c r="A30" s="35">
        <v>46180</v>
      </c>
      <c r="B30" s="8" t="s">
        <v>167</v>
      </c>
      <c r="C30" s="28">
        <v>15613.25</v>
      </c>
      <c r="D30" s="9" t="s">
        <v>60</v>
      </c>
      <c r="E30" s="16" t="s">
        <v>71</v>
      </c>
    </row>
    <row r="31" spans="1:10" ht="18" thickBot="1" x14ac:dyDescent="0.2">
      <c r="A31" s="35">
        <v>46180</v>
      </c>
      <c r="B31" s="8" t="s">
        <v>172</v>
      </c>
      <c r="C31" s="28">
        <v>4915.75</v>
      </c>
      <c r="D31" s="9" t="s">
        <v>59</v>
      </c>
      <c r="E31" s="16" t="s">
        <v>71</v>
      </c>
    </row>
    <row r="32" spans="1:10" ht="18" thickBot="1" x14ac:dyDescent="0.2">
      <c r="A32" s="35">
        <v>46181</v>
      </c>
      <c r="B32" s="8" t="s">
        <v>173</v>
      </c>
      <c r="C32" s="28">
        <v>4182</v>
      </c>
      <c r="D32" s="9" t="s">
        <v>59</v>
      </c>
      <c r="E32" s="16" t="s">
        <v>71</v>
      </c>
    </row>
    <row r="33" spans="1:10" ht="18" thickBot="1" x14ac:dyDescent="0.2">
      <c r="A33" s="35">
        <v>46182</v>
      </c>
      <c r="B33" s="40" t="s">
        <v>174</v>
      </c>
      <c r="C33" s="28">
        <v>1950</v>
      </c>
      <c r="D33" s="43" t="s">
        <v>59</v>
      </c>
      <c r="E33" s="16" t="s">
        <v>71</v>
      </c>
    </row>
    <row r="34" spans="1:10" ht="18" thickBot="1" x14ac:dyDescent="0.2">
      <c r="A34" s="35">
        <v>46185</v>
      </c>
      <c r="B34" s="8" t="s">
        <v>104</v>
      </c>
      <c r="C34" s="28">
        <v>308</v>
      </c>
      <c r="D34" s="9" t="s">
        <v>59</v>
      </c>
      <c r="E34" s="16" t="s">
        <v>71</v>
      </c>
    </row>
    <row r="35" spans="1:10" ht="18" thickBot="1" x14ac:dyDescent="0.2">
      <c r="A35" s="35">
        <v>46186</v>
      </c>
      <c r="B35" s="8" t="s">
        <v>105</v>
      </c>
      <c r="C35" s="28">
        <v>308</v>
      </c>
      <c r="D35" s="9" t="s">
        <v>59</v>
      </c>
      <c r="E35" s="16" t="s">
        <v>71</v>
      </c>
    </row>
    <row r="36" spans="1:10" s="2" customFormat="1" ht="18" thickBot="1" x14ac:dyDescent="0.2">
      <c r="A36" s="35">
        <v>46186</v>
      </c>
      <c r="B36" s="8" t="s">
        <v>175</v>
      </c>
      <c r="C36" s="28">
        <v>1920</v>
      </c>
      <c r="D36" s="9" t="s">
        <v>59</v>
      </c>
      <c r="E36" s="16" t="s">
        <v>71</v>
      </c>
      <c r="H36"/>
      <c r="I36"/>
      <c r="J36"/>
    </row>
    <row r="37" spans="1:10" s="2" customFormat="1" ht="18" thickBot="1" x14ac:dyDescent="0.2">
      <c r="A37" s="35">
        <v>46188</v>
      </c>
      <c r="B37" s="8" t="s">
        <v>141</v>
      </c>
      <c r="C37" s="28">
        <v>120</v>
      </c>
      <c r="D37" s="9" t="s">
        <v>59</v>
      </c>
      <c r="E37" s="16" t="s">
        <v>71</v>
      </c>
      <c r="H37"/>
      <c r="I37"/>
      <c r="J37"/>
    </row>
    <row r="38" spans="1:10" ht="18" thickBot="1" x14ac:dyDescent="0.2">
      <c r="A38" s="35">
        <v>46188</v>
      </c>
      <c r="B38" s="8" t="s">
        <v>142</v>
      </c>
      <c r="C38" s="28">
        <v>645</v>
      </c>
      <c r="D38" s="37" t="s">
        <v>59</v>
      </c>
      <c r="E38" s="16" t="s">
        <v>71</v>
      </c>
    </row>
    <row r="39" spans="1:10" ht="18" thickBot="1" x14ac:dyDescent="0.2">
      <c r="A39" s="35">
        <v>46189</v>
      </c>
      <c r="B39" s="8" t="s">
        <v>72</v>
      </c>
      <c r="C39" s="28">
        <v>29449</v>
      </c>
      <c r="D39" s="9" t="s">
        <v>59</v>
      </c>
      <c r="E39" s="16" t="s">
        <v>71</v>
      </c>
    </row>
    <row r="40" spans="1:10" ht="18" thickBot="1" x14ac:dyDescent="0.2">
      <c r="A40" s="35">
        <v>46189</v>
      </c>
      <c r="B40" s="8" t="s">
        <v>209</v>
      </c>
      <c r="C40" s="28">
        <v>13657</v>
      </c>
      <c r="D40" s="9" t="s">
        <v>59</v>
      </c>
      <c r="E40" s="16" t="s">
        <v>71</v>
      </c>
    </row>
    <row r="41" spans="1:10" ht="17.25" x14ac:dyDescent="0.15">
      <c r="A41" s="42">
        <v>46193</v>
      </c>
      <c r="B41" s="8" t="s">
        <v>106</v>
      </c>
      <c r="C41" s="34">
        <v>211.98</v>
      </c>
      <c r="D41" s="9" t="s">
        <v>59</v>
      </c>
      <c r="E41" s="16" t="s">
        <v>71</v>
      </c>
    </row>
    <row r="42" spans="1:10" s="2" customFormat="1" ht="17.25" x14ac:dyDescent="0.15">
      <c r="A42" s="6">
        <v>46194</v>
      </c>
      <c r="B42" s="8" t="s">
        <v>107</v>
      </c>
      <c r="C42" s="34">
        <v>49</v>
      </c>
      <c r="D42" s="9" t="s">
        <v>59</v>
      </c>
      <c r="E42" s="16" t="s">
        <v>71</v>
      </c>
      <c r="H42"/>
      <c r="I42"/>
      <c r="J42"/>
    </row>
    <row r="43" spans="1:10" s="2" customFormat="1" ht="17.25" x14ac:dyDescent="0.15">
      <c r="A43" s="6">
        <v>46194</v>
      </c>
      <c r="B43" s="8" t="s">
        <v>143</v>
      </c>
      <c r="C43" s="28">
        <v>1311.24</v>
      </c>
      <c r="D43" s="9" t="s">
        <v>59</v>
      </c>
      <c r="E43" s="16" t="s">
        <v>71</v>
      </c>
      <c r="H43"/>
      <c r="I43"/>
      <c r="J43"/>
    </row>
    <row r="44" spans="1:10" s="2" customFormat="1" ht="17.25" x14ac:dyDescent="0.15">
      <c r="A44" s="6">
        <v>46198</v>
      </c>
      <c r="B44" s="8" t="s">
        <v>176</v>
      </c>
      <c r="C44" s="28">
        <v>760</v>
      </c>
      <c r="D44" s="9" t="s">
        <v>59</v>
      </c>
      <c r="E44" s="16" t="s">
        <v>71</v>
      </c>
      <c r="H44"/>
      <c r="I44"/>
      <c r="J44"/>
    </row>
    <row r="45" spans="1:10" s="2" customFormat="1" ht="17.25" x14ac:dyDescent="0.15">
      <c r="A45" s="6">
        <v>46198</v>
      </c>
      <c r="B45" s="8" t="s">
        <v>177</v>
      </c>
      <c r="C45" s="28">
        <v>25000</v>
      </c>
      <c r="D45" s="9" t="s">
        <v>59</v>
      </c>
      <c r="E45" s="16" t="s">
        <v>71</v>
      </c>
      <c r="H45"/>
      <c r="I45"/>
      <c r="J45"/>
    </row>
    <row r="46" spans="1:10" ht="17.25" x14ac:dyDescent="0.15">
      <c r="A46" s="6">
        <v>46198</v>
      </c>
      <c r="B46" s="8" t="s">
        <v>178</v>
      </c>
      <c r="C46" s="28">
        <v>1600</v>
      </c>
      <c r="D46" s="9" t="s">
        <v>59</v>
      </c>
      <c r="E46" s="16" t="s">
        <v>71</v>
      </c>
    </row>
    <row r="47" spans="1:10" s="2" customFormat="1" ht="17.25" x14ac:dyDescent="0.15">
      <c r="A47" s="6">
        <v>46202</v>
      </c>
      <c r="B47" s="8" t="s">
        <v>144</v>
      </c>
      <c r="C47" s="28">
        <v>103.21</v>
      </c>
      <c r="D47" s="9" t="s">
        <v>59</v>
      </c>
      <c r="E47" s="16" t="s">
        <v>71</v>
      </c>
      <c r="H47"/>
      <c r="I47"/>
      <c r="J47"/>
    </row>
    <row r="48" spans="1:10" s="2" customFormat="1" ht="17.25" x14ac:dyDescent="0.15">
      <c r="A48" s="6">
        <v>46198</v>
      </c>
      <c r="B48" s="8" t="s">
        <v>179</v>
      </c>
      <c r="C48" s="28">
        <v>10000</v>
      </c>
      <c r="D48" s="9" t="s">
        <v>59</v>
      </c>
      <c r="E48" s="16" t="s">
        <v>71</v>
      </c>
      <c r="H48"/>
      <c r="I48"/>
      <c r="J48"/>
    </row>
    <row r="49" spans="1:10" s="2" customFormat="1" ht="17.25" x14ac:dyDescent="0.15">
      <c r="A49" s="6"/>
      <c r="B49" s="8"/>
      <c r="C49" s="28"/>
      <c r="D49" s="9"/>
      <c r="E49" s="31"/>
      <c r="H49"/>
      <c r="I49"/>
      <c r="J49"/>
    </row>
    <row r="50" spans="1:10" s="2" customFormat="1" ht="17.25" x14ac:dyDescent="0.15">
      <c r="A50" s="6"/>
      <c r="B50" s="8"/>
      <c r="C50" s="28"/>
      <c r="D50" s="9"/>
      <c r="E50" s="31"/>
      <c r="H50"/>
      <c r="I50"/>
      <c r="J50"/>
    </row>
    <row r="51" spans="1:10" s="2" customFormat="1" ht="17.25" x14ac:dyDescent="0.15">
      <c r="A51" s="6"/>
      <c r="B51" s="8"/>
      <c r="C51" s="28"/>
      <c r="D51" s="9"/>
      <c r="E51" s="31"/>
      <c r="H51"/>
      <c r="I51"/>
      <c r="J51"/>
    </row>
    <row r="52" spans="1:10" s="2" customFormat="1" ht="17.25" x14ac:dyDescent="0.15">
      <c r="A52" s="6"/>
      <c r="B52" s="8"/>
      <c r="C52" s="28"/>
      <c r="D52" s="9"/>
      <c r="E52" s="31"/>
      <c r="H52"/>
      <c r="I52"/>
      <c r="J52"/>
    </row>
    <row r="53" spans="1:10" s="2" customFormat="1" ht="17.25" x14ac:dyDescent="0.15">
      <c r="A53" s="6"/>
      <c r="B53" s="8"/>
      <c r="C53" s="28"/>
      <c r="D53" s="9"/>
      <c r="E53" s="31"/>
      <c r="H53"/>
      <c r="I53"/>
      <c r="J53"/>
    </row>
    <row r="54" spans="1:10" s="2" customFormat="1" ht="17.25" x14ac:dyDescent="0.15">
      <c r="A54" s="6"/>
      <c r="B54" s="8"/>
      <c r="C54" s="28"/>
      <c r="D54" s="9"/>
      <c r="E54" s="31"/>
      <c r="H54"/>
      <c r="I54"/>
      <c r="J54"/>
    </row>
    <row r="55" spans="1:10" s="2" customFormat="1" ht="17.25" x14ac:dyDescent="0.15">
      <c r="A55" s="6"/>
      <c r="B55" s="8"/>
      <c r="C55" s="28"/>
      <c r="D55" s="9"/>
      <c r="E55" s="31"/>
      <c r="H55"/>
      <c r="I55"/>
      <c r="J55"/>
    </row>
    <row r="56" spans="1:10" s="2" customFormat="1" ht="17.25" x14ac:dyDescent="0.15">
      <c r="A56" s="6"/>
      <c r="B56" s="8"/>
      <c r="C56" s="28"/>
      <c r="D56" s="9"/>
      <c r="E56" s="16"/>
      <c r="H56"/>
      <c r="I56"/>
      <c r="J56"/>
    </row>
    <row r="57" spans="1:10" s="2" customFormat="1" ht="17.25" x14ac:dyDescent="0.15">
      <c r="A57" s="6"/>
      <c r="B57" s="8"/>
      <c r="C57" s="28"/>
      <c r="D57" s="9"/>
      <c r="E57" s="31"/>
      <c r="H57"/>
      <c r="I57"/>
      <c r="J57"/>
    </row>
    <row r="58" spans="1:10" s="2" customFormat="1" ht="17.25" x14ac:dyDescent="0.15">
      <c r="A58" s="6"/>
      <c r="B58" s="8"/>
      <c r="C58" s="28"/>
      <c r="D58" s="9"/>
      <c r="E58" s="16"/>
      <c r="H58"/>
      <c r="I58"/>
      <c r="J58"/>
    </row>
    <row r="59" spans="1:10" s="2" customFormat="1" ht="17.25" x14ac:dyDescent="0.15">
      <c r="A59" s="6"/>
      <c r="B59" s="36"/>
      <c r="C59" s="28"/>
      <c r="D59" s="9"/>
      <c r="E59" s="31"/>
      <c r="H59"/>
      <c r="I59"/>
      <c r="J59"/>
    </row>
    <row r="60" spans="1:10" s="2" customFormat="1" ht="17.25" x14ac:dyDescent="0.15">
      <c r="A60" s="6"/>
      <c r="B60" s="36"/>
      <c r="C60" s="28"/>
      <c r="D60" s="9"/>
      <c r="E60" s="31"/>
      <c r="H60"/>
      <c r="I60"/>
      <c r="J60"/>
    </row>
    <row r="61" spans="1:10" s="2" customFormat="1" ht="17.25" x14ac:dyDescent="0.15">
      <c r="A61" s="6"/>
      <c r="B61" s="36"/>
      <c r="C61" s="28"/>
      <c r="D61" s="9"/>
      <c r="E61" s="31"/>
      <c r="H61"/>
      <c r="I61"/>
      <c r="J61"/>
    </row>
    <row r="62" spans="1:10" s="2" customFormat="1" ht="17.25" x14ac:dyDescent="0.15">
      <c r="A62" s="6"/>
      <c r="B62" s="36"/>
      <c r="C62" s="28"/>
      <c r="D62" s="9"/>
      <c r="E62" s="31"/>
      <c r="H62"/>
      <c r="I62"/>
      <c r="J62"/>
    </row>
    <row r="63" spans="1:10" s="2" customFormat="1" ht="17.25" x14ac:dyDescent="0.15">
      <c r="A63" s="6"/>
      <c r="B63" s="36"/>
      <c r="C63" s="28"/>
      <c r="D63" s="9"/>
      <c r="E63" s="31"/>
      <c r="H63"/>
      <c r="I63"/>
      <c r="J63"/>
    </row>
    <row r="64" spans="1:10" s="2" customFormat="1" ht="17.25" x14ac:dyDescent="0.15">
      <c r="A64" s="6"/>
      <c r="B64" s="36"/>
      <c r="C64" s="28"/>
      <c r="D64" s="9"/>
      <c r="E64" s="31"/>
      <c r="H64"/>
      <c r="I64"/>
      <c r="J64"/>
    </row>
    <row r="65" spans="1:10" s="2" customFormat="1" ht="17.25" x14ac:dyDescent="0.15">
      <c r="A65" s="6"/>
      <c r="B65" s="36"/>
      <c r="C65" s="33"/>
      <c r="D65" s="9"/>
      <c r="E65" s="31"/>
      <c r="H65"/>
      <c r="I65"/>
      <c r="J65"/>
    </row>
    <row r="66" spans="1:10" s="2" customFormat="1" ht="17.25" x14ac:dyDescent="0.15">
      <c r="A66" s="6"/>
      <c r="B66" s="8"/>
      <c r="C66" s="28"/>
      <c r="D66" s="9"/>
      <c r="E66" s="24"/>
      <c r="H66"/>
      <c r="I66"/>
      <c r="J66"/>
    </row>
    <row r="67" spans="1:10" s="2" customFormat="1" ht="17.25" x14ac:dyDescent="0.15">
      <c r="A67" s="6"/>
      <c r="B67" s="8"/>
      <c r="C67" s="28"/>
      <c r="D67" s="9"/>
      <c r="E67" s="31"/>
      <c r="H67"/>
      <c r="I67"/>
      <c r="J67"/>
    </row>
    <row r="68" spans="1:10" ht="17.25" x14ac:dyDescent="0.15">
      <c r="A68" s="6"/>
      <c r="B68" s="36"/>
      <c r="D68" s="9"/>
      <c r="E68" s="31"/>
    </row>
    <row r="69" spans="1:10" ht="17.25" x14ac:dyDescent="0.15">
      <c r="A69" s="6"/>
      <c r="B69" s="36"/>
      <c r="D69" s="9"/>
      <c r="E69" s="31"/>
    </row>
    <row r="70" spans="1:10" ht="17.25" x14ac:dyDescent="0.15">
      <c r="A70" s="6"/>
      <c r="D70" s="9"/>
      <c r="E70" s="24"/>
    </row>
    <row r="71" spans="1:10" s="2" customFormat="1" ht="17.25" x14ac:dyDescent="0.15">
      <c r="A71" s="32"/>
      <c r="B71" s="8"/>
      <c r="C71" s="28"/>
      <c r="D71" s="9"/>
      <c r="E71" s="31"/>
      <c r="H71"/>
      <c r="I71"/>
      <c r="J71"/>
    </row>
    <row r="72" spans="1:10" s="2" customFormat="1" ht="17.25" x14ac:dyDescent="0.15">
      <c r="A72" s="32"/>
      <c r="B72" s="8"/>
      <c r="C72" s="28"/>
      <c r="D72" s="9"/>
      <c r="E72" s="31"/>
      <c r="H72"/>
      <c r="I72"/>
      <c r="J72"/>
    </row>
    <row r="73" spans="1:10" s="2" customFormat="1" ht="17.25" x14ac:dyDescent="0.15">
      <c r="A73" s="6"/>
      <c r="B73" s="36"/>
      <c r="C73" s="28"/>
      <c r="D73" s="9"/>
      <c r="E73" s="16"/>
      <c r="H73"/>
      <c r="I73"/>
      <c r="J73"/>
    </row>
    <row r="74" spans="1:10" s="2" customFormat="1" ht="17.25" x14ac:dyDescent="0.15">
      <c r="A74" s="6"/>
      <c r="B74" s="8"/>
      <c r="C74" s="28"/>
      <c r="E74" s="24"/>
      <c r="H74"/>
      <c r="I74"/>
      <c r="J74"/>
    </row>
    <row r="75" spans="1:10" s="2" customFormat="1" x14ac:dyDescent="0.15">
      <c r="A75" s="6"/>
      <c r="B75" s="8"/>
      <c r="C75" s="28"/>
      <c r="H75"/>
      <c r="I75"/>
      <c r="J75"/>
    </row>
    <row r="76" spans="1:10" s="2" customFormat="1" x14ac:dyDescent="0.15">
      <c r="A76" s="6"/>
      <c r="B76" s="8"/>
      <c r="C76" s="28"/>
      <c r="H76"/>
      <c r="I76"/>
      <c r="J76"/>
    </row>
    <row r="77" spans="1:10" s="2" customFormat="1" x14ac:dyDescent="0.15">
      <c r="A77" s="6"/>
      <c r="B77" s="8"/>
      <c r="C77" s="28"/>
      <c r="H77"/>
      <c r="I77"/>
      <c r="J77"/>
    </row>
    <row r="78" spans="1:10" s="2" customFormat="1" ht="17.25" x14ac:dyDescent="0.15">
      <c r="A78" s="6"/>
      <c r="B78" s="8"/>
      <c r="C78" s="28"/>
      <c r="E78" s="24"/>
      <c r="H78"/>
      <c r="I78"/>
      <c r="J78"/>
    </row>
    <row r="79" spans="1:10" s="2" customFormat="1" x14ac:dyDescent="0.15">
      <c r="A79" s="6"/>
      <c r="B79" s="8"/>
      <c r="C79" s="28"/>
      <c r="H79"/>
      <c r="I79"/>
      <c r="J79"/>
    </row>
    <row r="80" spans="1:10" s="2" customFormat="1" x14ac:dyDescent="0.15">
      <c r="A80" s="6"/>
      <c r="B80" s="8"/>
      <c r="C80" s="28"/>
      <c r="H80"/>
      <c r="I80"/>
      <c r="J80"/>
    </row>
    <row r="81" spans="1:10" s="2" customFormat="1" ht="17.25" x14ac:dyDescent="0.15">
      <c r="A81" s="6"/>
      <c r="B81" s="8"/>
      <c r="C81" s="28"/>
      <c r="E81" s="24"/>
      <c r="H81"/>
      <c r="I81"/>
      <c r="J81"/>
    </row>
    <row r="82" spans="1:10" s="2" customFormat="1" ht="17.25" x14ac:dyDescent="0.15">
      <c r="A82" s="6"/>
      <c r="B82" s="8"/>
      <c r="C82" s="28"/>
      <c r="E82" s="24"/>
      <c r="H82"/>
      <c r="I82"/>
      <c r="J82"/>
    </row>
    <row r="83" spans="1:10" s="2" customFormat="1" x14ac:dyDescent="0.15">
      <c r="A83" s="6"/>
      <c r="B83" s="8"/>
      <c r="C83" s="28"/>
      <c r="H83"/>
      <c r="I83"/>
      <c r="J83"/>
    </row>
    <row r="84" spans="1:10" s="2" customFormat="1" x14ac:dyDescent="0.15">
      <c r="A84" s="6"/>
      <c r="B84" s="8"/>
      <c r="C84" s="28"/>
      <c r="H84"/>
      <c r="I84"/>
      <c r="J84"/>
    </row>
    <row r="85" spans="1:10" s="2" customFormat="1" x14ac:dyDescent="0.15">
      <c r="A85" s="6"/>
      <c r="B85" s="8"/>
      <c r="C85" s="28"/>
      <c r="H85"/>
      <c r="I85"/>
      <c r="J85"/>
    </row>
    <row r="86" spans="1:10" s="2" customFormat="1" x14ac:dyDescent="0.15">
      <c r="A86" s="6"/>
      <c r="B86" s="8"/>
      <c r="C86" s="28"/>
      <c r="H86"/>
      <c r="I86"/>
      <c r="J86"/>
    </row>
    <row r="87" spans="1:10" s="2" customFormat="1" x14ac:dyDescent="0.15">
      <c r="A87" s="6"/>
      <c r="B87" s="8"/>
      <c r="C87" s="28"/>
      <c r="H87"/>
      <c r="I87"/>
      <c r="J87"/>
    </row>
    <row r="88" spans="1:10" s="2" customFormat="1" x14ac:dyDescent="0.15">
      <c r="A88" s="6"/>
      <c r="B88" s="36"/>
      <c r="C88" s="28"/>
      <c r="H88"/>
      <c r="I88"/>
      <c r="J88"/>
    </row>
    <row r="89" spans="1:10" s="2" customFormat="1" ht="17.25" x14ac:dyDescent="0.15">
      <c r="A89" s="6"/>
      <c r="B89" s="29"/>
      <c r="C89" s="28"/>
      <c r="E89" s="24"/>
      <c r="H89"/>
      <c r="I89"/>
      <c r="J89"/>
    </row>
    <row r="90" spans="1:10" s="2" customFormat="1" x14ac:dyDescent="0.15">
      <c r="A90" s="6"/>
      <c r="B90" s="8"/>
      <c r="C90" s="28"/>
      <c r="H90"/>
      <c r="I90"/>
      <c r="J90"/>
    </row>
    <row r="91" spans="1:10" s="2" customFormat="1" ht="17.25" x14ac:dyDescent="0.15">
      <c r="A91" s="6"/>
      <c r="B91" s="29"/>
      <c r="C91" s="28"/>
      <c r="E91" s="24"/>
      <c r="H91"/>
      <c r="I91"/>
      <c r="J91"/>
    </row>
    <row r="92" spans="1:10" s="2" customFormat="1" ht="17.25" x14ac:dyDescent="0.15">
      <c r="A92" s="6"/>
      <c r="B92" s="29"/>
      <c r="C92" s="28"/>
      <c r="H92"/>
      <c r="I92"/>
      <c r="J92"/>
    </row>
    <row r="93" spans="1:10" s="2" customFormat="1" ht="17.25" x14ac:dyDescent="0.15">
      <c r="A93" s="6"/>
      <c r="B93" s="8"/>
      <c r="C93" s="28"/>
      <c r="E93" s="24"/>
      <c r="H93"/>
      <c r="I93"/>
      <c r="J93"/>
    </row>
    <row r="94" spans="1:10" s="2" customFormat="1" x14ac:dyDescent="0.15">
      <c r="A94" s="6"/>
      <c r="B94" s="8"/>
      <c r="C94" s="28"/>
      <c r="H94"/>
      <c r="I94"/>
      <c r="J94"/>
    </row>
  </sheetData>
  <phoneticPr fontId="1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DBCBEF-FD3C-F247-BA1F-948CC77001BC}">
          <x14:formula1>
            <xm:f>清單名稱!$C:$C</xm:f>
          </x14:formula1>
          <xm:sqref>G71:G1048576 G24 G47:G67 G30 G19:G22 G36:G45 G1:G16</xm:sqref>
        </x14:dataValidation>
        <x14:dataValidation type="list" allowBlank="1" showInputMessage="1" showErrorMessage="1" xr:uid="{701D1F85-3AE4-5049-8CFC-ACFDFD79CD4D}">
          <x14:formula1>
            <xm:f>清單名稱!$A$2:$A$5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8B9B-B922-144A-8911-92EDFC47D6CC}">
  <dimension ref="A1:J94"/>
  <sheetViews>
    <sheetView tabSelected="1" topLeftCell="B23" zoomScaleNormal="10" workbookViewId="0">
      <selection activeCell="E42" sqref="E42"/>
    </sheetView>
  </sheetViews>
  <sheetFormatPr defaultColWidth="11.04296875" defaultRowHeight="15" x14ac:dyDescent="0.15"/>
  <cols>
    <col min="2" max="2" width="62.13671875" style="8" customWidth="1"/>
    <col min="3" max="3" width="22.8828125" style="28" customWidth="1"/>
    <col min="4" max="4" width="9.4453125" style="2" customWidth="1"/>
    <col min="5" max="5" width="8.51171875" style="2" customWidth="1"/>
    <col min="6" max="6" width="21.15234375" style="2" customWidth="1"/>
    <col min="7" max="7" width="22.8828125" style="2" customWidth="1"/>
    <col min="8" max="8" width="11.04296875" bestFit="1" customWidth="1"/>
    <col min="9" max="9" width="1.4609375" customWidth="1"/>
    <col min="10" max="10" width="21.5546875" customWidth="1"/>
  </cols>
  <sheetData>
    <row r="1" spans="1:10" ht="15.75" thickBot="1" x14ac:dyDescent="0.2">
      <c r="A1" s="1" t="s">
        <v>0</v>
      </c>
      <c r="B1" s="7" t="s">
        <v>1</v>
      </c>
      <c r="C1" s="27" t="s">
        <v>31</v>
      </c>
      <c r="D1" s="3" t="s">
        <v>44</v>
      </c>
      <c r="E1" s="3" t="s">
        <v>2</v>
      </c>
      <c r="F1" s="3" t="s">
        <v>3</v>
      </c>
      <c r="G1" s="3" t="s">
        <v>4</v>
      </c>
      <c r="I1" s="10"/>
      <c r="J1" s="10"/>
    </row>
    <row r="2" spans="1:10" ht="18" thickBot="1" x14ac:dyDescent="0.2">
      <c r="A2" s="35">
        <v>46205</v>
      </c>
      <c r="B2" s="41" t="s">
        <v>180</v>
      </c>
      <c r="C2" s="34">
        <v>15000</v>
      </c>
      <c r="D2" s="37" t="s">
        <v>46</v>
      </c>
      <c r="E2" s="16" t="s">
        <v>71</v>
      </c>
      <c r="H2" s="11"/>
    </row>
    <row r="3" spans="1:10" ht="18" thickBot="1" x14ac:dyDescent="0.2">
      <c r="A3" s="35">
        <v>46208</v>
      </c>
      <c r="B3" s="8" t="s">
        <v>75</v>
      </c>
      <c r="C3" s="28">
        <v>195</v>
      </c>
      <c r="D3" s="44" t="s">
        <v>59</v>
      </c>
      <c r="E3" s="16" t="s">
        <v>71</v>
      </c>
      <c r="H3" s="11"/>
    </row>
    <row r="4" spans="1:10" ht="18" thickBot="1" x14ac:dyDescent="0.2">
      <c r="A4" s="35">
        <v>46208</v>
      </c>
      <c r="B4" s="8" t="s">
        <v>110</v>
      </c>
      <c r="C4" s="34">
        <v>108</v>
      </c>
      <c r="D4" s="9" t="s">
        <v>111</v>
      </c>
      <c r="E4" s="16" t="s">
        <v>71</v>
      </c>
      <c r="H4" s="11"/>
    </row>
    <row r="5" spans="1:10" ht="18" thickBot="1" x14ac:dyDescent="0.2">
      <c r="A5" s="35">
        <v>46208</v>
      </c>
      <c r="B5" s="8" t="s">
        <v>181</v>
      </c>
      <c r="C5" s="28">
        <v>148</v>
      </c>
      <c r="D5" s="9" t="s">
        <v>59</v>
      </c>
      <c r="E5" s="16" t="s">
        <v>71</v>
      </c>
    </row>
    <row r="6" spans="1:10" ht="18" thickBot="1" x14ac:dyDescent="0.2">
      <c r="A6" s="35">
        <v>46209</v>
      </c>
      <c r="B6" s="8" t="s">
        <v>183</v>
      </c>
      <c r="C6" s="28">
        <v>8000</v>
      </c>
      <c r="D6" s="9" t="s">
        <v>59</v>
      </c>
      <c r="E6" s="16" t="s">
        <v>71</v>
      </c>
    </row>
    <row r="7" spans="1:10" ht="18" thickBot="1" x14ac:dyDescent="0.2">
      <c r="A7" s="35">
        <v>46209</v>
      </c>
      <c r="B7" s="8" t="s">
        <v>182</v>
      </c>
      <c r="C7" s="28">
        <v>27307</v>
      </c>
      <c r="D7" s="9" t="s">
        <v>59</v>
      </c>
      <c r="E7" s="16" t="s">
        <v>71</v>
      </c>
    </row>
    <row r="8" spans="1:10" ht="18" thickBot="1" x14ac:dyDescent="0.2">
      <c r="A8" s="35">
        <v>46210</v>
      </c>
      <c r="B8" s="8" t="s">
        <v>184</v>
      </c>
      <c r="C8" s="28">
        <v>2200</v>
      </c>
      <c r="D8" s="9" t="s">
        <v>59</v>
      </c>
      <c r="E8" s="16" t="s">
        <v>71</v>
      </c>
    </row>
    <row r="9" spans="1:10" ht="18" thickBot="1" x14ac:dyDescent="0.2">
      <c r="A9" s="35">
        <v>46210</v>
      </c>
      <c r="B9" s="8" t="s">
        <v>185</v>
      </c>
      <c r="C9" s="28">
        <v>1740</v>
      </c>
      <c r="D9" s="9" t="s">
        <v>60</v>
      </c>
      <c r="E9" s="16" t="s">
        <v>70</v>
      </c>
    </row>
    <row r="10" spans="1:10" ht="18" thickBot="1" x14ac:dyDescent="0.2">
      <c r="A10" s="35">
        <v>46210</v>
      </c>
      <c r="B10" s="8" t="s">
        <v>186</v>
      </c>
      <c r="C10" s="28">
        <v>450</v>
      </c>
      <c r="D10" s="9" t="s">
        <v>59</v>
      </c>
      <c r="E10" s="16" t="s">
        <v>71</v>
      </c>
    </row>
    <row r="11" spans="1:10" ht="18" thickBot="1" x14ac:dyDescent="0.2">
      <c r="A11" s="35">
        <v>46210</v>
      </c>
      <c r="B11" s="8" t="s">
        <v>187</v>
      </c>
      <c r="C11" s="28">
        <v>930</v>
      </c>
      <c r="D11" s="9" t="s">
        <v>59</v>
      </c>
      <c r="E11" s="16" t="s">
        <v>71</v>
      </c>
    </row>
    <row r="12" spans="1:10" ht="18" thickBot="1" x14ac:dyDescent="0.2">
      <c r="A12" s="35">
        <v>46210</v>
      </c>
      <c r="B12" s="8" t="s">
        <v>188</v>
      </c>
      <c r="C12" s="28">
        <v>8900</v>
      </c>
      <c r="D12" s="9" t="s">
        <v>59</v>
      </c>
      <c r="E12" s="16" t="s">
        <v>71</v>
      </c>
    </row>
    <row r="13" spans="1:10" ht="18" thickBot="1" x14ac:dyDescent="0.2">
      <c r="A13" s="35">
        <v>46210</v>
      </c>
      <c r="B13" s="8" t="s">
        <v>190</v>
      </c>
      <c r="C13" s="28">
        <v>450</v>
      </c>
      <c r="D13" s="9" t="s">
        <v>59</v>
      </c>
      <c r="E13" s="16" t="s">
        <v>71</v>
      </c>
    </row>
    <row r="14" spans="1:10" ht="18" thickBot="1" x14ac:dyDescent="0.2">
      <c r="A14" s="35">
        <v>46210</v>
      </c>
      <c r="B14" s="8" t="s">
        <v>189</v>
      </c>
      <c r="C14" s="28">
        <v>4002</v>
      </c>
      <c r="D14" s="9" t="s">
        <v>59</v>
      </c>
      <c r="E14" s="16" t="s">
        <v>71</v>
      </c>
    </row>
    <row r="15" spans="1:10" ht="18" thickBot="1" x14ac:dyDescent="0.2">
      <c r="A15" s="35">
        <v>46210</v>
      </c>
      <c r="B15" s="8" t="s">
        <v>191</v>
      </c>
      <c r="C15" s="28">
        <v>1260</v>
      </c>
      <c r="D15" s="9" t="s">
        <v>59</v>
      </c>
      <c r="E15" s="16" t="s">
        <v>71</v>
      </c>
    </row>
    <row r="16" spans="1:10" ht="18" thickBot="1" x14ac:dyDescent="0.2">
      <c r="A16" s="35">
        <v>46210</v>
      </c>
      <c r="B16" s="8" t="s">
        <v>192</v>
      </c>
      <c r="C16" s="28">
        <v>2960</v>
      </c>
      <c r="D16" s="9" t="s">
        <v>59</v>
      </c>
      <c r="E16" s="16" t="s">
        <v>71</v>
      </c>
    </row>
    <row r="17" spans="1:10" ht="18" thickBot="1" x14ac:dyDescent="0.2">
      <c r="A17" s="35">
        <v>46210</v>
      </c>
      <c r="B17" s="8" t="s">
        <v>193</v>
      </c>
      <c r="C17" s="28">
        <v>945</v>
      </c>
      <c r="D17" s="9" t="s">
        <v>59</v>
      </c>
      <c r="E17" s="16" t="s">
        <v>71</v>
      </c>
    </row>
    <row r="18" spans="1:10" ht="18" thickBot="1" x14ac:dyDescent="0.2">
      <c r="A18" s="35">
        <v>46210</v>
      </c>
      <c r="B18" s="8" t="s">
        <v>194</v>
      </c>
      <c r="C18" s="28">
        <v>450</v>
      </c>
      <c r="D18" s="9" t="s">
        <v>59</v>
      </c>
      <c r="E18" s="16" t="s">
        <v>71</v>
      </c>
    </row>
    <row r="19" spans="1:10" ht="18" thickBot="1" x14ac:dyDescent="0.2">
      <c r="A19" s="35">
        <v>46210</v>
      </c>
      <c r="B19" s="8" t="s">
        <v>195</v>
      </c>
      <c r="C19" s="28">
        <v>1155</v>
      </c>
      <c r="D19" s="9" t="s">
        <v>59</v>
      </c>
      <c r="E19" s="16" t="s">
        <v>71</v>
      </c>
    </row>
    <row r="20" spans="1:10" ht="18" thickBot="1" x14ac:dyDescent="0.2">
      <c r="A20" s="35">
        <v>46210</v>
      </c>
      <c r="B20" s="8" t="s">
        <v>196</v>
      </c>
      <c r="C20" s="28">
        <v>2320</v>
      </c>
      <c r="D20" s="9" t="s">
        <v>59</v>
      </c>
      <c r="E20" s="16" t="s">
        <v>71</v>
      </c>
    </row>
    <row r="21" spans="1:10" ht="18" thickBot="1" x14ac:dyDescent="0.2">
      <c r="A21" s="35">
        <v>46210</v>
      </c>
      <c r="B21" s="8" t="s">
        <v>197</v>
      </c>
      <c r="C21" s="28">
        <v>1030</v>
      </c>
      <c r="D21" s="9" t="s">
        <v>60</v>
      </c>
      <c r="E21" s="16" t="s">
        <v>71</v>
      </c>
    </row>
    <row r="22" spans="1:10" ht="18" thickBot="1" x14ac:dyDescent="0.2">
      <c r="A22" s="35">
        <v>46212</v>
      </c>
      <c r="B22" s="40" t="s">
        <v>198</v>
      </c>
      <c r="C22" s="28">
        <v>3460</v>
      </c>
      <c r="D22" s="9" t="s">
        <v>59</v>
      </c>
      <c r="E22" s="16" t="s">
        <v>71</v>
      </c>
    </row>
    <row r="23" spans="1:10" s="2" customFormat="1" ht="18" thickBot="1" x14ac:dyDescent="0.2">
      <c r="A23" s="35">
        <v>46210</v>
      </c>
      <c r="B23" s="8" t="s">
        <v>199</v>
      </c>
      <c r="C23" s="28">
        <v>1350</v>
      </c>
      <c r="D23" s="9" t="s">
        <v>59</v>
      </c>
      <c r="E23" s="16" t="s">
        <v>71</v>
      </c>
      <c r="H23"/>
      <c r="I23"/>
      <c r="J23"/>
    </row>
    <row r="24" spans="1:10" ht="18" thickBot="1" x14ac:dyDescent="0.2">
      <c r="A24" s="35">
        <v>46210</v>
      </c>
      <c r="B24" s="38" t="s">
        <v>200</v>
      </c>
      <c r="C24" s="28">
        <v>2691.67</v>
      </c>
      <c r="D24" s="9" t="s">
        <v>59</v>
      </c>
      <c r="E24" s="16" t="s">
        <v>71</v>
      </c>
    </row>
    <row r="25" spans="1:10" ht="18" thickBot="1" x14ac:dyDescent="0.2">
      <c r="A25" s="35">
        <v>46210</v>
      </c>
      <c r="B25" s="8" t="s">
        <v>201</v>
      </c>
      <c r="C25" s="28">
        <v>790</v>
      </c>
      <c r="D25" s="9" t="s">
        <v>59</v>
      </c>
      <c r="E25" s="16" t="s">
        <v>71</v>
      </c>
    </row>
    <row r="26" spans="1:10" ht="18" thickBot="1" x14ac:dyDescent="0.2">
      <c r="A26" s="35">
        <v>46210</v>
      </c>
      <c r="B26" s="8" t="s">
        <v>202</v>
      </c>
      <c r="C26" s="28">
        <v>2610</v>
      </c>
      <c r="D26" s="37" t="s">
        <v>46</v>
      </c>
      <c r="E26" s="16" t="s">
        <v>71</v>
      </c>
    </row>
    <row r="27" spans="1:10" ht="18" thickBot="1" x14ac:dyDescent="0.2">
      <c r="A27" s="35">
        <v>46212</v>
      </c>
      <c r="B27" s="8" t="s">
        <v>204</v>
      </c>
      <c r="C27" s="28">
        <v>4151.5</v>
      </c>
      <c r="D27" s="9" t="s">
        <v>59</v>
      </c>
      <c r="E27" s="16" t="s">
        <v>71</v>
      </c>
    </row>
    <row r="28" spans="1:10" ht="18" thickBot="1" x14ac:dyDescent="0.2">
      <c r="A28" s="35">
        <v>46212</v>
      </c>
      <c r="B28" s="8" t="s">
        <v>205</v>
      </c>
      <c r="C28" s="28">
        <v>990</v>
      </c>
      <c r="D28" s="9" t="s">
        <v>59</v>
      </c>
      <c r="E28" s="16" t="s">
        <v>71</v>
      </c>
    </row>
    <row r="29" spans="1:10" ht="18" thickBot="1" x14ac:dyDescent="0.2">
      <c r="A29" s="35">
        <v>46212</v>
      </c>
      <c r="B29" s="8" t="s">
        <v>207</v>
      </c>
      <c r="C29" s="28">
        <v>180</v>
      </c>
      <c r="D29" s="9" t="s">
        <v>59</v>
      </c>
      <c r="E29" s="16" t="s">
        <v>71</v>
      </c>
    </row>
    <row r="30" spans="1:10" ht="18" thickBot="1" x14ac:dyDescent="0.2">
      <c r="A30" s="35">
        <v>46276</v>
      </c>
      <c r="B30" s="8" t="s">
        <v>206</v>
      </c>
      <c r="C30" s="28">
        <v>100</v>
      </c>
      <c r="D30" s="9" t="s">
        <v>59</v>
      </c>
      <c r="E30" s="16" t="s">
        <v>71</v>
      </c>
    </row>
    <row r="31" spans="1:10" ht="18" thickBot="1" x14ac:dyDescent="0.2">
      <c r="A31" s="35">
        <v>46216</v>
      </c>
      <c r="B31" s="8" t="s">
        <v>208</v>
      </c>
      <c r="C31" s="28">
        <v>706.35</v>
      </c>
      <c r="D31" s="9" t="s">
        <v>59</v>
      </c>
      <c r="E31" s="16" t="s">
        <v>71</v>
      </c>
    </row>
    <row r="32" spans="1:10" ht="18" thickBot="1" x14ac:dyDescent="0.2">
      <c r="A32" s="35">
        <v>46216</v>
      </c>
      <c r="B32" s="8" t="s">
        <v>105</v>
      </c>
      <c r="C32" s="28">
        <v>308</v>
      </c>
      <c r="D32" s="9" t="s">
        <v>59</v>
      </c>
      <c r="E32" s="16" t="s">
        <v>71</v>
      </c>
    </row>
    <row r="33" spans="1:10" ht="18" thickBot="1" x14ac:dyDescent="0.2">
      <c r="A33" s="35">
        <v>46217</v>
      </c>
      <c r="B33" s="8" t="s">
        <v>203</v>
      </c>
      <c r="C33" s="28">
        <v>3690</v>
      </c>
      <c r="D33" s="9" t="s">
        <v>59</v>
      </c>
      <c r="E33" s="16" t="s">
        <v>71</v>
      </c>
    </row>
    <row r="34" spans="1:10" ht="18" thickBot="1" x14ac:dyDescent="0.2">
      <c r="A34" s="35">
        <v>46218</v>
      </c>
      <c r="B34" s="8" t="s">
        <v>141</v>
      </c>
      <c r="C34" s="28">
        <v>84</v>
      </c>
      <c r="D34" s="9" t="s">
        <v>59</v>
      </c>
      <c r="E34" s="16" t="s">
        <v>71</v>
      </c>
    </row>
    <row r="35" spans="1:10" ht="18" thickBot="1" x14ac:dyDescent="0.2">
      <c r="A35" s="35">
        <v>46218</v>
      </c>
      <c r="B35" s="8" t="s">
        <v>142</v>
      </c>
      <c r="C35" s="28">
        <v>673</v>
      </c>
      <c r="D35" s="37" t="s">
        <v>59</v>
      </c>
      <c r="E35" s="16" t="s">
        <v>71</v>
      </c>
    </row>
    <row r="36" spans="1:10" s="2" customFormat="1" ht="18" thickBot="1" x14ac:dyDescent="0.2">
      <c r="A36" s="35">
        <v>46222</v>
      </c>
      <c r="B36" s="8" t="s">
        <v>73</v>
      </c>
      <c r="C36" s="28">
        <v>6375.39</v>
      </c>
      <c r="D36" s="9" t="s">
        <v>59</v>
      </c>
      <c r="E36" s="16" t="s">
        <v>71</v>
      </c>
      <c r="H36"/>
      <c r="I36"/>
      <c r="J36"/>
    </row>
    <row r="37" spans="1:10" s="2" customFormat="1" ht="18" thickBot="1" x14ac:dyDescent="0.2">
      <c r="A37" s="42">
        <v>46223</v>
      </c>
      <c r="B37" s="8" t="s">
        <v>106</v>
      </c>
      <c r="C37" s="34">
        <v>211.98</v>
      </c>
      <c r="D37" s="9" t="s">
        <v>59</v>
      </c>
      <c r="E37" s="16" t="s">
        <v>71</v>
      </c>
      <c r="H37"/>
      <c r="I37"/>
      <c r="J37"/>
    </row>
    <row r="38" spans="1:10" ht="18" thickBot="1" x14ac:dyDescent="0.2">
      <c r="A38" s="35">
        <v>46223</v>
      </c>
      <c r="B38" s="8" t="s">
        <v>107</v>
      </c>
      <c r="C38" s="34">
        <v>49</v>
      </c>
      <c r="D38" s="45" t="s">
        <v>59</v>
      </c>
      <c r="E38" s="16" t="s">
        <v>71</v>
      </c>
    </row>
    <row r="39" spans="1:10" ht="18" thickBot="1" x14ac:dyDescent="0.2">
      <c r="A39" s="35">
        <v>46223</v>
      </c>
      <c r="B39" s="8" t="s">
        <v>72</v>
      </c>
      <c r="C39" s="28">
        <v>29449</v>
      </c>
      <c r="D39" s="9" t="s">
        <v>59</v>
      </c>
      <c r="E39" s="16" t="s">
        <v>71</v>
      </c>
    </row>
    <row r="40" spans="1:10" ht="18" thickBot="1" x14ac:dyDescent="0.2">
      <c r="A40" s="35">
        <v>46227</v>
      </c>
      <c r="B40" s="8" t="s">
        <v>143</v>
      </c>
      <c r="C40" s="28">
        <v>1052.3699999999999</v>
      </c>
      <c r="D40" s="9" t="s">
        <v>59</v>
      </c>
      <c r="E40" s="16" t="s">
        <v>71</v>
      </c>
    </row>
    <row r="41" spans="1:10" ht="17.25" x14ac:dyDescent="0.15">
      <c r="A41" s="42">
        <v>46230</v>
      </c>
      <c r="B41" s="8" t="s">
        <v>144</v>
      </c>
      <c r="C41" s="28">
        <v>103.21</v>
      </c>
      <c r="D41" s="9" t="s">
        <v>59</v>
      </c>
      <c r="E41" s="16" t="s">
        <v>71</v>
      </c>
    </row>
    <row r="42" spans="1:10" s="2" customFormat="1" ht="17.25" x14ac:dyDescent="0.15">
      <c r="A42" s="6">
        <v>46234</v>
      </c>
      <c r="B42" s="8" t="s">
        <v>210</v>
      </c>
      <c r="C42" s="34">
        <v>466.58</v>
      </c>
      <c r="D42" s="9" t="s">
        <v>59</v>
      </c>
      <c r="E42" s="16" t="s">
        <v>71</v>
      </c>
      <c r="H42"/>
      <c r="I42"/>
      <c r="J42"/>
    </row>
    <row r="43" spans="1:10" s="2" customFormat="1" ht="17.25" x14ac:dyDescent="0.15">
      <c r="A43" s="6"/>
      <c r="B43" s="8"/>
      <c r="C43" s="28"/>
      <c r="D43" s="9"/>
      <c r="E43" s="16"/>
      <c r="H43"/>
      <c r="I43"/>
      <c r="J43"/>
    </row>
    <row r="44" spans="1:10" s="2" customFormat="1" ht="17.25" x14ac:dyDescent="0.15">
      <c r="A44" s="6"/>
      <c r="B44" s="8"/>
      <c r="C44" s="28"/>
      <c r="D44" s="9"/>
      <c r="E44" s="16"/>
      <c r="H44"/>
      <c r="I44"/>
      <c r="J44"/>
    </row>
    <row r="45" spans="1:10" s="2" customFormat="1" ht="17.25" x14ac:dyDescent="0.15">
      <c r="A45" s="6"/>
      <c r="B45" s="8"/>
      <c r="C45" s="28"/>
      <c r="D45" s="9"/>
      <c r="E45" s="16"/>
      <c r="H45"/>
      <c r="I45"/>
      <c r="J45"/>
    </row>
    <row r="46" spans="1:10" ht="17.25" x14ac:dyDescent="0.15">
      <c r="A46" s="6"/>
      <c r="D46" s="9"/>
      <c r="E46" s="16"/>
    </row>
    <row r="47" spans="1:10" s="2" customFormat="1" ht="17.25" x14ac:dyDescent="0.15">
      <c r="A47" s="6"/>
      <c r="B47" s="8"/>
      <c r="C47" s="28"/>
      <c r="D47" s="9"/>
      <c r="E47" s="16"/>
      <c r="H47"/>
      <c r="I47"/>
      <c r="J47"/>
    </row>
    <row r="48" spans="1:10" s="2" customFormat="1" ht="17.25" x14ac:dyDescent="0.15">
      <c r="A48" s="6"/>
      <c r="B48" s="8"/>
      <c r="C48" s="28"/>
      <c r="D48" s="9"/>
      <c r="E48" s="16"/>
      <c r="H48"/>
      <c r="I48"/>
      <c r="J48"/>
    </row>
    <row r="49" spans="1:10" s="2" customFormat="1" ht="17.25" x14ac:dyDescent="0.15">
      <c r="A49" s="6"/>
      <c r="B49" s="8"/>
      <c r="C49" s="28"/>
      <c r="D49" s="9"/>
      <c r="E49" s="31"/>
      <c r="H49"/>
      <c r="I49"/>
      <c r="J49"/>
    </row>
    <row r="50" spans="1:10" s="2" customFormat="1" ht="17.25" x14ac:dyDescent="0.15">
      <c r="A50" s="6"/>
      <c r="B50" s="8"/>
      <c r="C50" s="28"/>
      <c r="D50" s="9"/>
      <c r="E50" s="31"/>
      <c r="H50"/>
      <c r="I50"/>
      <c r="J50"/>
    </row>
    <row r="51" spans="1:10" s="2" customFormat="1" ht="17.25" x14ac:dyDescent="0.15">
      <c r="A51" s="6"/>
      <c r="B51" s="8"/>
      <c r="C51" s="28"/>
      <c r="D51" s="9"/>
      <c r="E51" s="31"/>
      <c r="H51"/>
      <c r="I51"/>
      <c r="J51"/>
    </row>
    <row r="52" spans="1:10" s="2" customFormat="1" ht="17.25" x14ac:dyDescent="0.15">
      <c r="A52" s="6"/>
      <c r="B52" s="8"/>
      <c r="C52" s="28"/>
      <c r="D52" s="9"/>
      <c r="E52" s="31"/>
      <c r="H52"/>
      <c r="I52"/>
      <c r="J52"/>
    </row>
    <row r="53" spans="1:10" s="2" customFormat="1" ht="17.25" x14ac:dyDescent="0.15">
      <c r="A53" s="6"/>
      <c r="B53" s="8"/>
      <c r="C53" s="28"/>
      <c r="D53" s="9"/>
      <c r="E53" s="31"/>
      <c r="H53"/>
      <c r="I53"/>
      <c r="J53"/>
    </row>
    <row r="54" spans="1:10" s="2" customFormat="1" ht="17.25" x14ac:dyDescent="0.15">
      <c r="A54" s="6"/>
      <c r="B54" s="8"/>
      <c r="C54" s="28"/>
      <c r="D54" s="9"/>
      <c r="E54" s="31"/>
      <c r="H54"/>
      <c r="I54"/>
      <c r="J54"/>
    </row>
    <row r="55" spans="1:10" s="2" customFormat="1" ht="17.25" x14ac:dyDescent="0.15">
      <c r="A55" s="6"/>
      <c r="B55" s="8"/>
      <c r="C55" s="28"/>
      <c r="D55" s="9"/>
      <c r="E55" s="31"/>
      <c r="H55"/>
      <c r="I55"/>
      <c r="J55"/>
    </row>
    <row r="56" spans="1:10" s="2" customFormat="1" ht="17.25" x14ac:dyDescent="0.15">
      <c r="A56" s="6"/>
      <c r="B56" s="8"/>
      <c r="C56" s="28"/>
      <c r="D56" s="9"/>
      <c r="E56" s="16"/>
      <c r="H56"/>
      <c r="I56"/>
      <c r="J56"/>
    </row>
    <row r="57" spans="1:10" s="2" customFormat="1" ht="17.25" x14ac:dyDescent="0.15">
      <c r="A57" s="6"/>
      <c r="B57" s="8"/>
      <c r="C57" s="28"/>
      <c r="D57" s="9"/>
      <c r="E57" s="31"/>
      <c r="H57"/>
      <c r="I57"/>
      <c r="J57"/>
    </row>
    <row r="58" spans="1:10" s="2" customFormat="1" ht="17.25" x14ac:dyDescent="0.15">
      <c r="A58" s="6"/>
      <c r="B58" s="8"/>
      <c r="C58" s="28"/>
      <c r="D58" s="9"/>
      <c r="E58" s="16"/>
      <c r="H58"/>
      <c r="I58"/>
      <c r="J58"/>
    </row>
    <row r="59" spans="1:10" s="2" customFormat="1" ht="17.25" x14ac:dyDescent="0.15">
      <c r="A59" s="6"/>
      <c r="B59" s="36"/>
      <c r="C59" s="28"/>
      <c r="D59" s="9"/>
      <c r="E59" s="31"/>
      <c r="H59"/>
      <c r="I59"/>
      <c r="J59"/>
    </row>
    <row r="60" spans="1:10" s="2" customFormat="1" ht="17.25" x14ac:dyDescent="0.15">
      <c r="A60" s="6"/>
      <c r="B60" s="36"/>
      <c r="C60" s="28"/>
      <c r="D60" s="9"/>
      <c r="E60" s="31"/>
      <c r="H60"/>
      <c r="I60"/>
      <c r="J60"/>
    </row>
    <row r="61" spans="1:10" s="2" customFormat="1" ht="17.25" x14ac:dyDescent="0.15">
      <c r="A61" s="6"/>
      <c r="B61" s="36"/>
      <c r="C61" s="28"/>
      <c r="D61" s="9"/>
      <c r="E61" s="31"/>
      <c r="H61"/>
      <c r="I61"/>
      <c r="J61"/>
    </row>
    <row r="62" spans="1:10" s="2" customFormat="1" ht="17.25" x14ac:dyDescent="0.15">
      <c r="A62" s="6"/>
      <c r="B62" s="36"/>
      <c r="C62" s="28"/>
      <c r="D62" s="9"/>
      <c r="E62" s="31"/>
      <c r="H62"/>
      <c r="I62"/>
      <c r="J62"/>
    </row>
    <row r="63" spans="1:10" s="2" customFormat="1" ht="17.25" x14ac:dyDescent="0.15">
      <c r="A63" s="6"/>
      <c r="B63" s="36"/>
      <c r="C63" s="28"/>
      <c r="D63" s="9"/>
      <c r="E63" s="31"/>
      <c r="H63"/>
      <c r="I63"/>
      <c r="J63"/>
    </row>
    <row r="64" spans="1:10" s="2" customFormat="1" ht="17.25" x14ac:dyDescent="0.15">
      <c r="A64" s="6"/>
      <c r="B64" s="36"/>
      <c r="C64" s="28"/>
      <c r="D64" s="9"/>
      <c r="E64" s="31"/>
      <c r="H64"/>
      <c r="I64"/>
      <c r="J64"/>
    </row>
    <row r="65" spans="1:10" s="2" customFormat="1" ht="17.25" x14ac:dyDescent="0.15">
      <c r="A65" s="6"/>
      <c r="B65" s="36"/>
      <c r="C65" s="33"/>
      <c r="D65" s="9"/>
      <c r="E65" s="31"/>
      <c r="H65"/>
      <c r="I65"/>
      <c r="J65"/>
    </row>
    <row r="66" spans="1:10" s="2" customFormat="1" ht="17.25" x14ac:dyDescent="0.15">
      <c r="A66" s="6"/>
      <c r="B66" s="8"/>
      <c r="C66" s="28"/>
      <c r="D66" s="9"/>
      <c r="E66" s="24"/>
      <c r="H66"/>
      <c r="I66"/>
      <c r="J66"/>
    </row>
    <row r="67" spans="1:10" s="2" customFormat="1" ht="17.25" x14ac:dyDescent="0.15">
      <c r="A67" s="6"/>
      <c r="B67" s="8"/>
      <c r="C67" s="28"/>
      <c r="D67" s="9"/>
      <c r="E67" s="31"/>
      <c r="H67"/>
      <c r="I67"/>
      <c r="J67"/>
    </row>
    <row r="68" spans="1:10" ht="17.25" x14ac:dyDescent="0.15">
      <c r="A68" s="6"/>
      <c r="B68" s="36"/>
      <c r="D68" s="9"/>
      <c r="E68" s="31"/>
    </row>
    <row r="69" spans="1:10" ht="17.25" x14ac:dyDescent="0.15">
      <c r="A69" s="6"/>
      <c r="B69" s="36"/>
      <c r="D69" s="9"/>
      <c r="E69" s="31"/>
    </row>
    <row r="70" spans="1:10" ht="17.25" x14ac:dyDescent="0.15">
      <c r="A70" s="6"/>
      <c r="D70" s="9"/>
      <c r="E70" s="24"/>
    </row>
    <row r="71" spans="1:10" s="2" customFormat="1" ht="17.25" x14ac:dyDescent="0.15">
      <c r="A71" s="32"/>
      <c r="B71" s="8"/>
      <c r="C71" s="28"/>
      <c r="D71" s="9"/>
      <c r="E71" s="31"/>
      <c r="H71"/>
      <c r="I71"/>
      <c r="J71"/>
    </row>
    <row r="72" spans="1:10" s="2" customFormat="1" ht="17.25" x14ac:dyDescent="0.15">
      <c r="A72" s="32"/>
      <c r="B72" s="8"/>
      <c r="C72" s="28"/>
      <c r="D72" s="9"/>
      <c r="E72" s="31"/>
      <c r="H72"/>
      <c r="I72"/>
      <c r="J72"/>
    </row>
    <row r="73" spans="1:10" s="2" customFormat="1" ht="17.25" x14ac:dyDescent="0.15">
      <c r="A73" s="6"/>
      <c r="B73" s="36"/>
      <c r="C73" s="28"/>
      <c r="D73" s="9"/>
      <c r="E73" s="16"/>
      <c r="H73"/>
      <c r="I73"/>
      <c r="J73"/>
    </row>
    <row r="74" spans="1:10" s="2" customFormat="1" ht="17.25" x14ac:dyDescent="0.15">
      <c r="A74" s="6"/>
      <c r="B74" s="8"/>
      <c r="C74" s="28"/>
      <c r="E74" s="24"/>
      <c r="H74"/>
      <c r="I74"/>
      <c r="J74"/>
    </row>
    <row r="75" spans="1:10" s="2" customFormat="1" x14ac:dyDescent="0.15">
      <c r="A75" s="6"/>
      <c r="B75" s="8"/>
      <c r="C75" s="28"/>
      <c r="H75"/>
      <c r="I75"/>
      <c r="J75"/>
    </row>
    <row r="76" spans="1:10" s="2" customFormat="1" x14ac:dyDescent="0.15">
      <c r="A76" s="6"/>
      <c r="B76" s="8"/>
      <c r="C76" s="28"/>
      <c r="H76"/>
      <c r="I76"/>
      <c r="J76"/>
    </row>
    <row r="77" spans="1:10" s="2" customFormat="1" x14ac:dyDescent="0.15">
      <c r="A77" s="6"/>
      <c r="B77" s="8"/>
      <c r="C77" s="28"/>
      <c r="H77"/>
      <c r="I77"/>
      <c r="J77"/>
    </row>
    <row r="78" spans="1:10" s="2" customFormat="1" ht="17.25" x14ac:dyDescent="0.15">
      <c r="A78" s="6"/>
      <c r="B78" s="8"/>
      <c r="C78" s="28"/>
      <c r="E78" s="24"/>
      <c r="H78"/>
      <c r="I78"/>
      <c r="J78"/>
    </row>
    <row r="79" spans="1:10" s="2" customFormat="1" x14ac:dyDescent="0.15">
      <c r="A79" s="6"/>
      <c r="B79" s="8"/>
      <c r="C79" s="28"/>
      <c r="H79"/>
      <c r="I79"/>
      <c r="J79"/>
    </row>
    <row r="80" spans="1:10" s="2" customFormat="1" x14ac:dyDescent="0.15">
      <c r="A80" s="6"/>
      <c r="B80" s="8"/>
      <c r="C80" s="28"/>
      <c r="H80"/>
      <c r="I80"/>
      <c r="J80"/>
    </row>
    <row r="81" spans="1:10" s="2" customFormat="1" ht="17.25" x14ac:dyDescent="0.15">
      <c r="A81" s="6"/>
      <c r="B81" s="8"/>
      <c r="C81" s="28"/>
      <c r="E81" s="24"/>
      <c r="H81"/>
      <c r="I81"/>
      <c r="J81"/>
    </row>
    <row r="82" spans="1:10" s="2" customFormat="1" ht="17.25" x14ac:dyDescent="0.15">
      <c r="A82" s="6"/>
      <c r="B82" s="8"/>
      <c r="C82" s="28"/>
      <c r="E82" s="24"/>
      <c r="H82"/>
      <c r="I82"/>
      <c r="J82"/>
    </row>
    <row r="83" spans="1:10" s="2" customFormat="1" x14ac:dyDescent="0.15">
      <c r="A83" s="6"/>
      <c r="B83" s="8"/>
      <c r="C83" s="28"/>
      <c r="H83"/>
      <c r="I83"/>
      <c r="J83"/>
    </row>
    <row r="84" spans="1:10" s="2" customFormat="1" x14ac:dyDescent="0.15">
      <c r="A84" s="6"/>
      <c r="B84" s="8"/>
      <c r="C84" s="28"/>
      <c r="H84"/>
      <c r="I84"/>
      <c r="J84"/>
    </row>
    <row r="85" spans="1:10" s="2" customFormat="1" x14ac:dyDescent="0.15">
      <c r="A85" s="6"/>
      <c r="B85" s="8"/>
      <c r="C85" s="28"/>
      <c r="H85"/>
      <c r="I85"/>
      <c r="J85"/>
    </row>
    <row r="86" spans="1:10" s="2" customFormat="1" x14ac:dyDescent="0.15">
      <c r="A86" s="6"/>
      <c r="B86" s="8"/>
      <c r="C86" s="28"/>
      <c r="H86"/>
      <c r="I86"/>
      <c r="J86"/>
    </row>
    <row r="87" spans="1:10" s="2" customFormat="1" x14ac:dyDescent="0.15">
      <c r="A87" s="6"/>
      <c r="B87" s="8"/>
      <c r="C87" s="28"/>
      <c r="H87"/>
      <c r="I87"/>
      <c r="J87"/>
    </row>
    <row r="88" spans="1:10" s="2" customFormat="1" x14ac:dyDescent="0.15">
      <c r="A88" s="6"/>
      <c r="B88" s="36"/>
      <c r="C88" s="28"/>
      <c r="H88"/>
      <c r="I88"/>
      <c r="J88"/>
    </row>
    <row r="89" spans="1:10" s="2" customFormat="1" ht="17.25" x14ac:dyDescent="0.15">
      <c r="A89" s="6"/>
      <c r="B89" s="29"/>
      <c r="C89" s="28"/>
      <c r="E89" s="24"/>
      <c r="H89"/>
      <c r="I89"/>
      <c r="J89"/>
    </row>
    <row r="90" spans="1:10" s="2" customFormat="1" x14ac:dyDescent="0.15">
      <c r="A90" s="6"/>
      <c r="B90" s="8"/>
      <c r="C90" s="28"/>
      <c r="H90"/>
      <c r="I90"/>
      <c r="J90"/>
    </row>
    <row r="91" spans="1:10" s="2" customFormat="1" ht="17.25" x14ac:dyDescent="0.15">
      <c r="A91" s="6"/>
      <c r="B91" s="29"/>
      <c r="C91" s="28"/>
      <c r="E91" s="24"/>
      <c r="H91"/>
      <c r="I91"/>
      <c r="J91"/>
    </row>
    <row r="92" spans="1:10" s="2" customFormat="1" ht="17.25" x14ac:dyDescent="0.15">
      <c r="A92" s="6"/>
      <c r="B92" s="29"/>
      <c r="C92" s="28"/>
      <c r="H92"/>
      <c r="I92"/>
      <c r="J92"/>
    </row>
    <row r="93" spans="1:10" s="2" customFormat="1" ht="17.25" x14ac:dyDescent="0.15">
      <c r="A93" s="6"/>
      <c r="B93" s="8"/>
      <c r="C93" s="28"/>
      <c r="E93" s="24"/>
      <c r="H93"/>
      <c r="I93"/>
      <c r="J93"/>
    </row>
    <row r="94" spans="1:10" s="2" customFormat="1" x14ac:dyDescent="0.15">
      <c r="A94" s="6"/>
      <c r="B94" s="8"/>
      <c r="C94" s="28"/>
      <c r="H94"/>
      <c r="I94"/>
      <c r="J94"/>
    </row>
  </sheetData>
  <phoneticPr fontId="1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8F5358-B2B5-B647-AA13-6006E54B89F8}">
          <x14:formula1>
            <xm:f>清單名稱!$C:$C</xm:f>
          </x14:formula1>
          <xm:sqref>G71:G1048576 G23 G47:G67 G18:G21 G36:G45 G1:G15</xm:sqref>
        </x14:dataValidation>
        <x14:dataValidation type="list" allowBlank="1" showInputMessage="1" showErrorMessage="1" xr:uid="{FD8AA36F-4AD5-2044-9B81-BF7491CD4A9B}">
          <x14:formula1>
            <xm:f>清單名稱!$A$2:$A$5</xm:f>
          </x14:formula1>
          <xm:sqref>D1:D1048576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3049-CE56-1848-B655-03E35EE7C819}">
  <dimension ref="A1:J94"/>
  <sheetViews>
    <sheetView zoomScaleNormal="10" workbookViewId="0">
      <selection activeCell="A2" sqref="A2"/>
    </sheetView>
  </sheetViews>
  <sheetFormatPr defaultColWidth="11.04296875" defaultRowHeight="15" x14ac:dyDescent="0.15"/>
  <cols>
    <col min="2" max="2" width="62.13671875" style="8" customWidth="1"/>
    <col min="3" max="3" width="22.8828125" style="28" customWidth="1"/>
    <col min="4" max="4" width="9.4453125" style="2" customWidth="1"/>
    <col min="5" max="5" width="8.51171875" style="2" customWidth="1"/>
    <col min="6" max="6" width="21.15234375" style="2" customWidth="1"/>
    <col min="7" max="7" width="22.8828125" style="2" customWidth="1"/>
    <col min="8" max="8" width="11.04296875" bestFit="1" customWidth="1"/>
    <col min="9" max="9" width="1.4609375" customWidth="1"/>
    <col min="10" max="10" width="21.5546875" customWidth="1"/>
  </cols>
  <sheetData>
    <row r="1" spans="1:10" ht="15.75" thickBot="1" x14ac:dyDescent="0.2">
      <c r="A1" s="1" t="s">
        <v>0</v>
      </c>
      <c r="B1" s="7" t="s">
        <v>1</v>
      </c>
      <c r="C1" s="27" t="s">
        <v>31</v>
      </c>
      <c r="D1" s="3" t="s">
        <v>44</v>
      </c>
      <c r="E1" s="3" t="s">
        <v>2</v>
      </c>
      <c r="F1" s="3" t="s">
        <v>3</v>
      </c>
      <c r="G1" s="3" t="s">
        <v>4</v>
      </c>
      <c r="I1" s="10"/>
      <c r="J1" s="10"/>
    </row>
    <row r="2" spans="1:10" ht="18" thickBot="1" x14ac:dyDescent="0.2">
      <c r="A2" s="35">
        <v>46235</v>
      </c>
      <c r="B2" s="41"/>
      <c r="C2" s="34"/>
      <c r="D2" s="37"/>
      <c r="E2" s="16"/>
      <c r="H2" s="11"/>
    </row>
    <row r="3" spans="1:10" ht="18" thickBot="1" x14ac:dyDescent="0.2">
      <c r="A3" s="35"/>
      <c r="D3" s="44"/>
      <c r="E3" s="16"/>
      <c r="H3" s="11"/>
    </row>
    <row r="4" spans="1:10" ht="18" thickBot="1" x14ac:dyDescent="0.2">
      <c r="A4" s="35"/>
      <c r="C4" s="34"/>
      <c r="D4" s="9"/>
      <c r="E4" s="16"/>
      <c r="H4" s="11"/>
    </row>
    <row r="5" spans="1:10" ht="18" thickBot="1" x14ac:dyDescent="0.2">
      <c r="A5" s="35"/>
      <c r="D5" s="9"/>
      <c r="E5" s="16"/>
    </row>
    <row r="6" spans="1:10" ht="18" thickBot="1" x14ac:dyDescent="0.2">
      <c r="A6" s="35"/>
      <c r="D6" s="9"/>
      <c r="E6" s="16"/>
    </row>
    <row r="7" spans="1:10" ht="18" thickBot="1" x14ac:dyDescent="0.2">
      <c r="A7" s="35"/>
      <c r="D7" s="9"/>
      <c r="E7" s="16"/>
    </row>
    <row r="8" spans="1:10" ht="18" thickBot="1" x14ac:dyDescent="0.2">
      <c r="A8" s="35"/>
      <c r="D8" s="9"/>
      <c r="E8" s="16"/>
    </row>
    <row r="9" spans="1:10" ht="18" thickBot="1" x14ac:dyDescent="0.2">
      <c r="A9" s="35"/>
      <c r="D9" s="9"/>
      <c r="E9" s="16"/>
    </row>
    <row r="10" spans="1:10" ht="18" thickBot="1" x14ac:dyDescent="0.2">
      <c r="A10" s="35"/>
      <c r="D10" s="9"/>
      <c r="E10" s="16"/>
    </row>
    <row r="11" spans="1:10" ht="18" thickBot="1" x14ac:dyDescent="0.2">
      <c r="A11" s="35"/>
      <c r="D11" s="9"/>
      <c r="E11" s="16"/>
    </row>
    <row r="12" spans="1:10" ht="18" thickBot="1" x14ac:dyDescent="0.2">
      <c r="A12" s="35"/>
      <c r="D12" s="9"/>
      <c r="E12" s="16"/>
    </row>
    <row r="13" spans="1:10" ht="18" thickBot="1" x14ac:dyDescent="0.2">
      <c r="A13" s="35"/>
      <c r="D13" s="9"/>
      <c r="E13" s="16"/>
    </row>
    <row r="14" spans="1:10" ht="18" thickBot="1" x14ac:dyDescent="0.2">
      <c r="A14" s="35"/>
      <c r="D14" s="9"/>
      <c r="E14" s="16"/>
    </row>
    <row r="15" spans="1:10" ht="18" thickBot="1" x14ac:dyDescent="0.2">
      <c r="A15" s="35"/>
      <c r="D15" s="9"/>
      <c r="E15" s="16"/>
    </row>
    <row r="16" spans="1:10" ht="18" thickBot="1" x14ac:dyDescent="0.2">
      <c r="A16" s="35"/>
      <c r="D16" s="9"/>
      <c r="E16" s="16"/>
    </row>
    <row r="17" spans="1:10" ht="18" thickBot="1" x14ac:dyDescent="0.2">
      <c r="A17" s="35"/>
      <c r="D17" s="9"/>
      <c r="E17" s="16"/>
    </row>
    <row r="18" spans="1:10" ht="18" thickBot="1" x14ac:dyDescent="0.2">
      <c r="A18" s="35"/>
      <c r="D18" s="9"/>
      <c r="E18" s="16"/>
    </row>
    <row r="19" spans="1:10" ht="18" thickBot="1" x14ac:dyDescent="0.2">
      <c r="A19" s="35"/>
      <c r="D19" s="9"/>
      <c r="E19" s="16"/>
    </row>
    <row r="20" spans="1:10" ht="18" thickBot="1" x14ac:dyDescent="0.2">
      <c r="A20" s="35"/>
      <c r="D20" s="9"/>
      <c r="E20" s="16"/>
    </row>
    <row r="21" spans="1:10" ht="18" thickBot="1" x14ac:dyDescent="0.2">
      <c r="A21" s="35"/>
      <c r="D21" s="9"/>
      <c r="E21" s="16"/>
    </row>
    <row r="22" spans="1:10" ht="18" thickBot="1" x14ac:dyDescent="0.2">
      <c r="A22" s="35"/>
      <c r="B22" s="40"/>
      <c r="D22" s="9"/>
      <c r="E22" s="16"/>
    </row>
    <row r="23" spans="1:10" s="2" customFormat="1" ht="18" thickBot="1" x14ac:dyDescent="0.2">
      <c r="A23" s="35"/>
      <c r="B23" s="8"/>
      <c r="C23" s="28"/>
      <c r="D23" s="9"/>
      <c r="E23" s="16"/>
      <c r="H23"/>
      <c r="I23"/>
      <c r="J23"/>
    </row>
    <row r="24" spans="1:10" ht="18" thickBot="1" x14ac:dyDescent="0.2">
      <c r="A24" s="35"/>
      <c r="B24" s="38"/>
      <c r="D24" s="9"/>
      <c r="E24" s="16"/>
    </row>
    <row r="25" spans="1:10" ht="18" thickBot="1" x14ac:dyDescent="0.2">
      <c r="A25" s="35"/>
      <c r="D25" s="9"/>
      <c r="E25" s="16"/>
    </row>
    <row r="26" spans="1:10" ht="18" thickBot="1" x14ac:dyDescent="0.2">
      <c r="A26" s="35"/>
      <c r="D26" s="37"/>
      <c r="E26" s="16"/>
    </row>
    <row r="27" spans="1:10" ht="18" thickBot="1" x14ac:dyDescent="0.2">
      <c r="A27" s="35"/>
      <c r="D27" s="9"/>
      <c r="E27" s="16"/>
    </row>
    <row r="28" spans="1:10" ht="18" thickBot="1" x14ac:dyDescent="0.2">
      <c r="A28" s="35"/>
      <c r="D28" s="9"/>
      <c r="E28" s="16"/>
    </row>
    <row r="29" spans="1:10" ht="18" thickBot="1" x14ac:dyDescent="0.2">
      <c r="A29" s="35"/>
      <c r="D29" s="9"/>
      <c r="E29" s="16"/>
    </row>
    <row r="30" spans="1:10" ht="18" thickBot="1" x14ac:dyDescent="0.2">
      <c r="A30" s="35"/>
      <c r="D30" s="9"/>
      <c r="E30" s="16"/>
    </row>
    <row r="31" spans="1:10" ht="18" thickBot="1" x14ac:dyDescent="0.2">
      <c r="A31" s="35"/>
      <c r="D31" s="9"/>
      <c r="E31" s="16"/>
    </row>
    <row r="32" spans="1:10" ht="18" thickBot="1" x14ac:dyDescent="0.2">
      <c r="A32" s="35"/>
      <c r="D32" s="9"/>
      <c r="E32" s="16"/>
    </row>
    <row r="33" spans="1:10" ht="18" thickBot="1" x14ac:dyDescent="0.2">
      <c r="A33" s="35"/>
      <c r="D33" s="9"/>
      <c r="E33" s="16"/>
    </row>
    <row r="34" spans="1:10" ht="18" thickBot="1" x14ac:dyDescent="0.2">
      <c r="A34" s="35"/>
      <c r="D34" s="9"/>
      <c r="E34" s="16"/>
    </row>
    <row r="35" spans="1:10" ht="18" thickBot="1" x14ac:dyDescent="0.2">
      <c r="A35" s="35"/>
      <c r="D35" s="37"/>
      <c r="E35" s="16"/>
    </row>
    <row r="36" spans="1:10" s="2" customFormat="1" ht="18" thickBot="1" x14ac:dyDescent="0.2">
      <c r="A36" s="35"/>
      <c r="B36" s="8"/>
      <c r="C36" s="28"/>
      <c r="D36" s="9"/>
      <c r="E36" s="16"/>
      <c r="H36"/>
      <c r="I36"/>
      <c r="J36"/>
    </row>
    <row r="37" spans="1:10" s="2" customFormat="1" ht="18" thickBot="1" x14ac:dyDescent="0.2">
      <c r="A37" s="42"/>
      <c r="B37" s="8"/>
      <c r="C37" s="34"/>
      <c r="D37" s="9"/>
      <c r="E37" s="16"/>
      <c r="H37"/>
      <c r="I37"/>
      <c r="J37"/>
    </row>
    <row r="38" spans="1:10" ht="18" thickBot="1" x14ac:dyDescent="0.2">
      <c r="A38" s="35"/>
      <c r="C38" s="34"/>
      <c r="D38" s="45"/>
      <c r="E38" s="16"/>
    </row>
    <row r="39" spans="1:10" ht="18" thickBot="1" x14ac:dyDescent="0.2">
      <c r="A39" s="35"/>
      <c r="D39" s="9"/>
      <c r="E39" s="16"/>
    </row>
    <row r="40" spans="1:10" ht="18" thickBot="1" x14ac:dyDescent="0.2">
      <c r="A40" s="35"/>
      <c r="D40" s="9"/>
      <c r="E40" s="16"/>
    </row>
    <row r="41" spans="1:10" ht="17.25" x14ac:dyDescent="0.15">
      <c r="A41" s="42"/>
      <c r="D41" s="9"/>
      <c r="E41" s="16"/>
    </row>
    <row r="42" spans="1:10" s="2" customFormat="1" ht="17.25" x14ac:dyDescent="0.15">
      <c r="A42" s="6"/>
      <c r="B42" s="8"/>
      <c r="C42" s="34"/>
      <c r="D42" s="9"/>
      <c r="E42" s="16"/>
      <c r="H42"/>
      <c r="I42"/>
      <c r="J42"/>
    </row>
    <row r="43" spans="1:10" s="2" customFormat="1" ht="17.25" x14ac:dyDescent="0.15">
      <c r="A43" s="6"/>
      <c r="B43" s="8"/>
      <c r="C43" s="28"/>
      <c r="D43" s="9"/>
      <c r="E43" s="16"/>
      <c r="H43"/>
      <c r="I43"/>
      <c r="J43"/>
    </row>
    <row r="44" spans="1:10" s="2" customFormat="1" ht="17.25" x14ac:dyDescent="0.15">
      <c r="A44" s="6"/>
      <c r="B44" s="8"/>
      <c r="C44" s="28"/>
      <c r="D44" s="9"/>
      <c r="E44" s="16"/>
      <c r="H44"/>
      <c r="I44"/>
      <c r="J44"/>
    </row>
    <row r="45" spans="1:10" s="2" customFormat="1" ht="17.25" x14ac:dyDescent="0.15">
      <c r="A45" s="6"/>
      <c r="B45" s="8"/>
      <c r="C45" s="28"/>
      <c r="D45" s="9"/>
      <c r="E45" s="16"/>
      <c r="H45"/>
      <c r="I45"/>
      <c r="J45"/>
    </row>
    <row r="46" spans="1:10" ht="17.25" x14ac:dyDescent="0.15">
      <c r="A46" s="6"/>
      <c r="D46" s="9"/>
      <c r="E46" s="16"/>
    </row>
    <row r="47" spans="1:10" s="2" customFormat="1" ht="17.25" x14ac:dyDescent="0.15">
      <c r="A47" s="6"/>
      <c r="B47" s="8"/>
      <c r="C47" s="28"/>
      <c r="D47" s="9"/>
      <c r="E47" s="16"/>
      <c r="H47"/>
      <c r="I47"/>
      <c r="J47"/>
    </row>
    <row r="48" spans="1:10" s="2" customFormat="1" ht="17.25" x14ac:dyDescent="0.15">
      <c r="A48" s="6"/>
      <c r="B48" s="8"/>
      <c r="C48" s="28"/>
      <c r="D48" s="9"/>
      <c r="E48" s="16"/>
      <c r="H48"/>
      <c r="I48"/>
      <c r="J48"/>
    </row>
    <row r="49" spans="1:10" s="2" customFormat="1" ht="17.25" x14ac:dyDescent="0.15">
      <c r="A49" s="6"/>
      <c r="B49" s="8"/>
      <c r="C49" s="28"/>
      <c r="D49" s="9"/>
      <c r="E49" s="31"/>
      <c r="H49"/>
      <c r="I49"/>
      <c r="J49"/>
    </row>
    <row r="50" spans="1:10" s="2" customFormat="1" ht="17.25" x14ac:dyDescent="0.15">
      <c r="A50" s="6"/>
      <c r="B50" s="8"/>
      <c r="C50" s="28"/>
      <c r="D50" s="9"/>
      <c r="E50" s="31"/>
      <c r="H50"/>
      <c r="I50"/>
      <c r="J50"/>
    </row>
    <row r="51" spans="1:10" s="2" customFormat="1" ht="17.25" x14ac:dyDescent="0.15">
      <c r="A51" s="6"/>
      <c r="B51" s="8"/>
      <c r="C51" s="28"/>
      <c r="D51" s="9"/>
      <c r="E51" s="31"/>
      <c r="H51"/>
      <c r="I51"/>
      <c r="J51"/>
    </row>
    <row r="52" spans="1:10" s="2" customFormat="1" ht="17.25" x14ac:dyDescent="0.15">
      <c r="A52" s="6"/>
      <c r="B52" s="8"/>
      <c r="C52" s="28"/>
      <c r="D52" s="9"/>
      <c r="E52" s="31"/>
      <c r="H52"/>
      <c r="I52"/>
      <c r="J52"/>
    </row>
    <row r="53" spans="1:10" s="2" customFormat="1" ht="17.25" x14ac:dyDescent="0.15">
      <c r="A53" s="6"/>
      <c r="B53" s="8"/>
      <c r="C53" s="28"/>
      <c r="D53" s="9"/>
      <c r="E53" s="31"/>
      <c r="H53"/>
      <c r="I53"/>
      <c r="J53"/>
    </row>
    <row r="54" spans="1:10" s="2" customFormat="1" ht="17.25" x14ac:dyDescent="0.15">
      <c r="A54" s="6"/>
      <c r="B54" s="8"/>
      <c r="C54" s="28"/>
      <c r="D54" s="9"/>
      <c r="E54" s="31"/>
      <c r="H54"/>
      <c r="I54"/>
      <c r="J54"/>
    </row>
    <row r="55" spans="1:10" s="2" customFormat="1" ht="17.25" x14ac:dyDescent="0.15">
      <c r="A55" s="6"/>
      <c r="B55" s="8"/>
      <c r="C55" s="28"/>
      <c r="D55" s="9"/>
      <c r="E55" s="31"/>
      <c r="H55"/>
      <c r="I55"/>
      <c r="J55"/>
    </row>
    <row r="56" spans="1:10" s="2" customFormat="1" ht="17.25" x14ac:dyDescent="0.15">
      <c r="A56" s="6"/>
      <c r="B56" s="8"/>
      <c r="C56" s="28"/>
      <c r="D56" s="9"/>
      <c r="E56" s="16"/>
      <c r="H56"/>
      <c r="I56"/>
      <c r="J56"/>
    </row>
    <row r="57" spans="1:10" s="2" customFormat="1" ht="17.25" x14ac:dyDescent="0.15">
      <c r="A57" s="6"/>
      <c r="B57" s="8"/>
      <c r="C57" s="28"/>
      <c r="D57" s="9"/>
      <c r="E57" s="31"/>
      <c r="H57"/>
      <c r="I57"/>
      <c r="J57"/>
    </row>
    <row r="58" spans="1:10" s="2" customFormat="1" ht="17.25" x14ac:dyDescent="0.15">
      <c r="A58" s="6"/>
      <c r="B58" s="8"/>
      <c r="C58" s="28"/>
      <c r="D58" s="9"/>
      <c r="E58" s="16"/>
      <c r="H58"/>
      <c r="I58"/>
      <c r="J58"/>
    </row>
    <row r="59" spans="1:10" s="2" customFormat="1" ht="17.25" x14ac:dyDescent="0.15">
      <c r="A59" s="6"/>
      <c r="B59" s="36"/>
      <c r="C59" s="28"/>
      <c r="D59" s="9"/>
      <c r="E59" s="31"/>
      <c r="H59"/>
      <c r="I59"/>
      <c r="J59"/>
    </row>
    <row r="60" spans="1:10" s="2" customFormat="1" ht="17.25" x14ac:dyDescent="0.15">
      <c r="A60" s="6"/>
      <c r="B60" s="36"/>
      <c r="C60" s="28"/>
      <c r="D60" s="9"/>
      <c r="E60" s="31"/>
      <c r="H60"/>
      <c r="I60"/>
      <c r="J60"/>
    </row>
    <row r="61" spans="1:10" s="2" customFormat="1" ht="17.25" x14ac:dyDescent="0.15">
      <c r="A61" s="6"/>
      <c r="B61" s="36"/>
      <c r="C61" s="28"/>
      <c r="D61" s="9"/>
      <c r="E61" s="31"/>
      <c r="H61"/>
      <c r="I61"/>
      <c r="J61"/>
    </row>
    <row r="62" spans="1:10" s="2" customFormat="1" ht="17.25" x14ac:dyDescent="0.15">
      <c r="A62" s="6"/>
      <c r="B62" s="36"/>
      <c r="C62" s="28"/>
      <c r="D62" s="9"/>
      <c r="E62" s="31"/>
      <c r="H62"/>
      <c r="I62"/>
      <c r="J62"/>
    </row>
    <row r="63" spans="1:10" s="2" customFormat="1" ht="17.25" x14ac:dyDescent="0.15">
      <c r="A63" s="6"/>
      <c r="B63" s="36"/>
      <c r="C63" s="28"/>
      <c r="D63" s="9"/>
      <c r="E63" s="31"/>
      <c r="H63"/>
      <c r="I63"/>
      <c r="J63"/>
    </row>
    <row r="64" spans="1:10" s="2" customFormat="1" ht="17.25" x14ac:dyDescent="0.15">
      <c r="A64" s="6"/>
      <c r="B64" s="36"/>
      <c r="C64" s="28"/>
      <c r="D64" s="9"/>
      <c r="E64" s="31"/>
      <c r="H64"/>
      <c r="I64"/>
      <c r="J64"/>
    </row>
    <row r="65" spans="1:10" s="2" customFormat="1" ht="17.25" x14ac:dyDescent="0.15">
      <c r="A65" s="6"/>
      <c r="B65" s="36"/>
      <c r="C65" s="33"/>
      <c r="D65" s="9"/>
      <c r="E65" s="31"/>
      <c r="H65"/>
      <c r="I65"/>
      <c r="J65"/>
    </row>
    <row r="66" spans="1:10" s="2" customFormat="1" ht="17.25" x14ac:dyDescent="0.15">
      <c r="A66" s="6"/>
      <c r="B66" s="8"/>
      <c r="C66" s="28"/>
      <c r="D66" s="9"/>
      <c r="E66" s="24"/>
      <c r="H66"/>
      <c r="I66"/>
      <c r="J66"/>
    </row>
    <row r="67" spans="1:10" s="2" customFormat="1" ht="17.25" x14ac:dyDescent="0.15">
      <c r="A67" s="6"/>
      <c r="B67" s="8"/>
      <c r="C67" s="28"/>
      <c r="D67" s="9"/>
      <c r="E67" s="31"/>
      <c r="H67"/>
      <c r="I67"/>
      <c r="J67"/>
    </row>
    <row r="68" spans="1:10" ht="17.25" x14ac:dyDescent="0.15">
      <c r="A68" s="6"/>
      <c r="B68" s="36"/>
      <c r="D68" s="9"/>
      <c r="E68" s="31"/>
    </row>
    <row r="69" spans="1:10" ht="17.25" x14ac:dyDescent="0.15">
      <c r="A69" s="6"/>
      <c r="B69" s="36"/>
      <c r="D69" s="9"/>
      <c r="E69" s="31"/>
    </row>
    <row r="70" spans="1:10" ht="17.25" x14ac:dyDescent="0.15">
      <c r="A70" s="6"/>
      <c r="D70" s="9"/>
      <c r="E70" s="24"/>
    </row>
    <row r="71" spans="1:10" s="2" customFormat="1" ht="17.25" x14ac:dyDescent="0.15">
      <c r="A71" s="32"/>
      <c r="B71" s="8"/>
      <c r="C71" s="28"/>
      <c r="D71" s="9"/>
      <c r="E71" s="31"/>
      <c r="H71"/>
      <c r="I71"/>
      <c r="J71"/>
    </row>
    <row r="72" spans="1:10" s="2" customFormat="1" ht="17.25" x14ac:dyDescent="0.15">
      <c r="A72" s="32"/>
      <c r="B72" s="8"/>
      <c r="C72" s="28"/>
      <c r="D72" s="9"/>
      <c r="E72" s="31"/>
      <c r="H72"/>
      <c r="I72"/>
      <c r="J72"/>
    </row>
    <row r="73" spans="1:10" s="2" customFormat="1" ht="17.25" x14ac:dyDescent="0.15">
      <c r="A73" s="6"/>
      <c r="B73" s="36"/>
      <c r="C73" s="28"/>
      <c r="D73" s="9"/>
      <c r="E73" s="16"/>
      <c r="H73"/>
      <c r="I73"/>
      <c r="J73"/>
    </row>
    <row r="74" spans="1:10" s="2" customFormat="1" ht="17.25" x14ac:dyDescent="0.15">
      <c r="A74" s="6"/>
      <c r="B74" s="8"/>
      <c r="C74" s="28"/>
      <c r="E74" s="24"/>
      <c r="H74"/>
      <c r="I74"/>
      <c r="J74"/>
    </row>
    <row r="75" spans="1:10" s="2" customFormat="1" x14ac:dyDescent="0.15">
      <c r="A75" s="6"/>
      <c r="B75" s="8"/>
      <c r="C75" s="28"/>
      <c r="H75"/>
      <c r="I75"/>
      <c r="J75"/>
    </row>
    <row r="76" spans="1:10" s="2" customFormat="1" x14ac:dyDescent="0.15">
      <c r="A76" s="6"/>
      <c r="B76" s="8"/>
      <c r="C76" s="28"/>
      <c r="H76"/>
      <c r="I76"/>
      <c r="J76"/>
    </row>
    <row r="77" spans="1:10" s="2" customFormat="1" x14ac:dyDescent="0.15">
      <c r="A77" s="6"/>
      <c r="B77" s="8"/>
      <c r="C77" s="28"/>
      <c r="H77"/>
      <c r="I77"/>
      <c r="J77"/>
    </row>
    <row r="78" spans="1:10" s="2" customFormat="1" ht="17.25" x14ac:dyDescent="0.15">
      <c r="A78" s="6"/>
      <c r="B78" s="8"/>
      <c r="C78" s="28"/>
      <c r="E78" s="24"/>
      <c r="H78"/>
      <c r="I78"/>
      <c r="J78"/>
    </row>
    <row r="79" spans="1:10" s="2" customFormat="1" x14ac:dyDescent="0.15">
      <c r="A79" s="6"/>
      <c r="B79" s="8"/>
      <c r="C79" s="28"/>
      <c r="H79"/>
      <c r="I79"/>
      <c r="J79"/>
    </row>
    <row r="80" spans="1:10" s="2" customFormat="1" x14ac:dyDescent="0.15">
      <c r="A80" s="6"/>
      <c r="B80" s="8"/>
      <c r="C80" s="28"/>
      <c r="H80"/>
      <c r="I80"/>
      <c r="J80"/>
    </row>
    <row r="81" spans="1:10" s="2" customFormat="1" ht="17.25" x14ac:dyDescent="0.15">
      <c r="A81" s="6"/>
      <c r="B81" s="8"/>
      <c r="C81" s="28"/>
      <c r="E81" s="24"/>
      <c r="H81"/>
      <c r="I81"/>
      <c r="J81"/>
    </row>
    <row r="82" spans="1:10" s="2" customFormat="1" ht="17.25" x14ac:dyDescent="0.15">
      <c r="A82" s="6"/>
      <c r="B82" s="8"/>
      <c r="C82" s="28"/>
      <c r="E82" s="24"/>
      <c r="H82"/>
      <c r="I82"/>
      <c r="J82"/>
    </row>
    <row r="83" spans="1:10" s="2" customFormat="1" x14ac:dyDescent="0.15">
      <c r="A83" s="6"/>
      <c r="B83" s="8"/>
      <c r="C83" s="28"/>
      <c r="H83"/>
      <c r="I83"/>
      <c r="J83"/>
    </row>
    <row r="84" spans="1:10" s="2" customFormat="1" x14ac:dyDescent="0.15">
      <c r="A84" s="6"/>
      <c r="B84" s="8"/>
      <c r="C84" s="28"/>
      <c r="H84"/>
      <c r="I84"/>
      <c r="J84"/>
    </row>
    <row r="85" spans="1:10" s="2" customFormat="1" x14ac:dyDescent="0.15">
      <c r="A85" s="6"/>
      <c r="B85" s="8"/>
      <c r="C85" s="28"/>
      <c r="H85"/>
      <c r="I85"/>
      <c r="J85"/>
    </row>
    <row r="86" spans="1:10" s="2" customFormat="1" x14ac:dyDescent="0.15">
      <c r="A86" s="6"/>
      <c r="B86" s="8"/>
      <c r="C86" s="28"/>
      <c r="H86"/>
      <c r="I86"/>
      <c r="J86"/>
    </row>
    <row r="87" spans="1:10" s="2" customFormat="1" x14ac:dyDescent="0.15">
      <c r="A87" s="6"/>
      <c r="B87" s="8"/>
      <c r="C87" s="28"/>
      <c r="H87"/>
      <c r="I87"/>
      <c r="J87"/>
    </row>
    <row r="88" spans="1:10" s="2" customFormat="1" x14ac:dyDescent="0.15">
      <c r="A88" s="6"/>
      <c r="B88" s="36"/>
      <c r="C88" s="28"/>
      <c r="H88"/>
      <c r="I88"/>
      <c r="J88"/>
    </row>
    <row r="89" spans="1:10" s="2" customFormat="1" ht="17.25" x14ac:dyDescent="0.15">
      <c r="A89" s="6"/>
      <c r="B89" s="29"/>
      <c r="C89" s="28"/>
      <c r="E89" s="24"/>
      <c r="H89"/>
      <c r="I89"/>
      <c r="J89"/>
    </row>
    <row r="90" spans="1:10" s="2" customFormat="1" x14ac:dyDescent="0.15">
      <c r="A90" s="6"/>
      <c r="B90" s="8"/>
      <c r="C90" s="28"/>
      <c r="H90"/>
      <c r="I90"/>
      <c r="J90"/>
    </row>
    <row r="91" spans="1:10" s="2" customFormat="1" ht="17.25" x14ac:dyDescent="0.15">
      <c r="A91" s="6"/>
      <c r="B91" s="29"/>
      <c r="C91" s="28"/>
      <c r="E91" s="24"/>
      <c r="H91"/>
      <c r="I91"/>
      <c r="J91"/>
    </row>
    <row r="92" spans="1:10" s="2" customFormat="1" ht="17.25" x14ac:dyDescent="0.15">
      <c r="A92" s="6"/>
      <c r="B92" s="29"/>
      <c r="C92" s="28"/>
      <c r="H92"/>
      <c r="I92"/>
      <c r="J92"/>
    </row>
    <row r="93" spans="1:10" s="2" customFormat="1" ht="17.25" x14ac:dyDescent="0.15">
      <c r="A93" s="6"/>
      <c r="B93" s="8"/>
      <c r="C93" s="28"/>
      <c r="E93" s="24"/>
      <c r="H93"/>
      <c r="I93"/>
      <c r="J93"/>
    </row>
    <row r="94" spans="1:10" s="2" customFormat="1" x14ac:dyDescent="0.15">
      <c r="A94" s="6"/>
      <c r="B94" s="8"/>
      <c r="C94" s="28"/>
      <c r="H94"/>
      <c r="I94"/>
      <c r="J94"/>
    </row>
  </sheetData>
  <phoneticPr fontId="1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289E5A9-8420-2240-934C-7EBCFF098D24}">
          <x14:formula1>
            <xm:f>清單名稱!$A$2:$A$5</xm:f>
          </x14:formula1>
          <xm:sqref>D1:D1048576</xm:sqref>
        </x14:dataValidation>
        <x14:dataValidation type="list" allowBlank="1" showInputMessage="1" showErrorMessage="1" xr:uid="{64176DDE-2BA5-974C-A176-E921BF46AE5A}">
          <x14:formula1>
            <xm:f>清單名稱!$C:$C</xm:f>
          </x14:formula1>
          <xm:sqref>G71:G1048576 G23 G47:G67 G18:G21 G36:G45 G1:G15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0053-D52B-8942-AA7F-36B94EBAB3D8}">
  <dimension ref="A1:J17"/>
  <sheetViews>
    <sheetView zoomScale="106" workbookViewId="0">
      <selection activeCell="F3" sqref="F3"/>
    </sheetView>
  </sheetViews>
  <sheetFormatPr defaultColWidth="11.04296875" defaultRowHeight="15" x14ac:dyDescent="0.15"/>
  <cols>
    <col min="1" max="1" width="16.49609375" customWidth="1"/>
    <col min="7" max="7" width="1.328125" customWidth="1"/>
  </cols>
  <sheetData>
    <row r="1" spans="1:10" x14ac:dyDescent="0.15">
      <c r="G1" s="4"/>
      <c r="H1" s="4"/>
      <c r="I1" s="4"/>
      <c r="J1" s="4"/>
    </row>
    <row r="2" spans="1:10" x14ac:dyDescent="0.15">
      <c r="B2" t="s">
        <v>5</v>
      </c>
      <c r="C2" t="s">
        <v>6</v>
      </c>
      <c r="D2" t="s">
        <v>7</v>
      </c>
      <c r="E2" t="s">
        <v>8</v>
      </c>
      <c r="F2" t="s">
        <v>9</v>
      </c>
      <c r="H2" t="s">
        <v>10</v>
      </c>
    </row>
    <row r="3" spans="1:10" x14ac:dyDescent="0.15">
      <c r="A3" s="4">
        <v>38078</v>
      </c>
      <c r="H3">
        <f>SUM(B3:F3)</f>
        <v>0</v>
      </c>
    </row>
    <row r="4" spans="1:10" x14ac:dyDescent="0.15">
      <c r="A4" s="4">
        <v>38473</v>
      </c>
      <c r="H4">
        <f t="shared" ref="H4:H13" si="0">SUM(B4:F4)</f>
        <v>0</v>
      </c>
    </row>
    <row r="5" spans="1:10" x14ac:dyDescent="0.15">
      <c r="A5" s="4">
        <v>38869</v>
      </c>
      <c r="H5">
        <f t="shared" si="0"/>
        <v>0</v>
      </c>
    </row>
    <row r="6" spans="1:10" x14ac:dyDescent="0.15">
      <c r="A6" s="4">
        <v>39264</v>
      </c>
      <c r="H6">
        <f t="shared" si="0"/>
        <v>0</v>
      </c>
    </row>
    <row r="7" spans="1:10" x14ac:dyDescent="0.15">
      <c r="A7" s="4">
        <v>39661</v>
      </c>
      <c r="H7">
        <f t="shared" si="0"/>
        <v>0</v>
      </c>
    </row>
    <row r="8" spans="1:10" x14ac:dyDescent="0.15">
      <c r="A8" s="4">
        <v>40057</v>
      </c>
      <c r="H8">
        <f t="shared" si="0"/>
        <v>0</v>
      </c>
    </row>
    <row r="9" spans="1:10" x14ac:dyDescent="0.15">
      <c r="A9" s="4">
        <v>40452</v>
      </c>
      <c r="H9">
        <f t="shared" si="0"/>
        <v>0</v>
      </c>
    </row>
    <row r="10" spans="1:10" x14ac:dyDescent="0.15">
      <c r="A10" s="4">
        <v>40848</v>
      </c>
      <c r="H10">
        <f t="shared" si="0"/>
        <v>0</v>
      </c>
    </row>
    <row r="11" spans="1:10" x14ac:dyDescent="0.15">
      <c r="A11" s="4">
        <v>41244</v>
      </c>
      <c r="H11">
        <f t="shared" si="0"/>
        <v>0</v>
      </c>
    </row>
    <row r="12" spans="1:10" x14ac:dyDescent="0.15">
      <c r="A12" s="4">
        <v>36892</v>
      </c>
      <c r="H12">
        <f>SUM(B12:F12)</f>
        <v>0</v>
      </c>
    </row>
    <row r="13" spans="1:10" x14ac:dyDescent="0.15">
      <c r="A13" s="4">
        <v>37288</v>
      </c>
      <c r="H13">
        <f t="shared" si="0"/>
        <v>0</v>
      </c>
    </row>
    <row r="14" spans="1:10" x14ac:dyDescent="0.15">
      <c r="A14" s="4">
        <v>37681</v>
      </c>
      <c r="H14">
        <f>SUM(B14:F14)</f>
        <v>0</v>
      </c>
    </row>
    <row r="17" spans="1:6" x14ac:dyDescent="0.15">
      <c r="A17" t="s">
        <v>11</v>
      </c>
      <c r="B17" s="5">
        <f>SUM(B3:B14)</f>
        <v>0</v>
      </c>
      <c r="C17" s="5">
        <f>SUM(C3:C14)</f>
        <v>0</v>
      </c>
      <c r="D17" s="5">
        <f>SUM(D3:D14)</f>
        <v>0</v>
      </c>
      <c r="E17" s="5">
        <f>SUM(E3:E14)</f>
        <v>0</v>
      </c>
      <c r="F17" s="5">
        <f>SUM(F3:F14)</f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BDB5A-F6A3-446E-ADD6-2BDB5B50E65F}">
  <dimension ref="A1:K242"/>
  <sheetViews>
    <sheetView topLeftCell="D1" workbookViewId="0">
      <selection activeCell="F28" sqref="F28"/>
    </sheetView>
  </sheetViews>
  <sheetFormatPr defaultColWidth="8.6484375" defaultRowHeight="15" x14ac:dyDescent="0.15"/>
  <cols>
    <col min="1" max="1" width="22.21875" customWidth="1"/>
    <col min="2" max="2" width="40.71484375" customWidth="1"/>
    <col min="3" max="3" width="2.39453125" customWidth="1"/>
    <col min="4" max="4" width="17.1640625" style="19" customWidth="1"/>
    <col min="5" max="5" width="15.03515625" customWidth="1"/>
    <col min="6" max="6" width="46.30078125" customWidth="1"/>
    <col min="8" max="8" width="17.02734375" style="19" customWidth="1"/>
  </cols>
  <sheetData>
    <row r="1" spans="1:11" ht="17.25" x14ac:dyDescent="0.15">
      <c r="A1" s="46" t="s">
        <v>66</v>
      </c>
      <c r="B1" s="46"/>
      <c r="C1" s="46"/>
      <c r="D1" s="46"/>
      <c r="E1" s="46"/>
      <c r="F1" s="46"/>
      <c r="G1" s="46"/>
      <c r="H1" s="17"/>
      <c r="I1" s="5"/>
      <c r="J1" s="5"/>
      <c r="K1" s="5"/>
    </row>
    <row r="2" spans="1:11" ht="17.25" x14ac:dyDescent="0.15">
      <c r="A2" s="12" t="s">
        <v>63</v>
      </c>
      <c r="D2" s="21"/>
      <c r="E2" s="12" t="s">
        <v>64</v>
      </c>
      <c r="G2" s="11"/>
      <c r="H2" s="17"/>
    </row>
    <row r="3" spans="1:11" ht="17.25" x14ac:dyDescent="0.15">
      <c r="A3" s="12" t="s">
        <v>67</v>
      </c>
      <c r="B3" s="12" t="s">
        <v>68</v>
      </c>
      <c r="C3" s="11"/>
      <c r="D3" s="22" t="s">
        <v>65</v>
      </c>
      <c r="E3" s="13" t="s">
        <v>67</v>
      </c>
      <c r="F3" s="12" t="s">
        <v>68</v>
      </c>
      <c r="G3" s="11"/>
      <c r="H3" s="18" t="s">
        <v>65</v>
      </c>
    </row>
    <row r="4" spans="1:11" ht="16.5" customHeight="1" x14ac:dyDescent="0.2">
      <c r="A4" s="6"/>
      <c r="B4" s="14"/>
      <c r="D4" s="23"/>
      <c r="E4" s="6"/>
      <c r="F4" s="30"/>
    </row>
    <row r="5" spans="1:11" x14ac:dyDescent="0.15">
      <c r="A5" s="6"/>
      <c r="B5" s="14"/>
      <c r="D5" s="23"/>
      <c r="E5" s="6"/>
    </row>
    <row r="6" spans="1:11" x14ac:dyDescent="0.15">
      <c r="A6" s="6"/>
      <c r="B6" s="14"/>
      <c r="D6" s="23"/>
      <c r="E6" s="15"/>
      <c r="F6" s="14"/>
    </row>
    <row r="7" spans="1:11" x14ac:dyDescent="0.15">
      <c r="B7" s="14"/>
      <c r="D7" s="23"/>
      <c r="E7" s="15"/>
      <c r="F7" s="14"/>
    </row>
    <row r="8" spans="1:11" x14ac:dyDescent="0.15">
      <c r="B8" s="14"/>
      <c r="D8" s="23"/>
      <c r="E8" s="15"/>
      <c r="F8" s="14"/>
    </row>
    <row r="9" spans="1:11" x14ac:dyDescent="0.15">
      <c r="B9" s="14"/>
      <c r="D9" s="23"/>
      <c r="E9" s="15"/>
      <c r="F9" s="14"/>
    </row>
    <row r="10" spans="1:11" x14ac:dyDescent="0.15">
      <c r="B10" s="14"/>
      <c r="D10" s="23"/>
      <c r="E10" s="15"/>
      <c r="F10" s="14"/>
    </row>
    <row r="11" spans="1:11" x14ac:dyDescent="0.15">
      <c r="B11" s="14"/>
      <c r="D11" s="23"/>
      <c r="E11" s="15"/>
      <c r="F11" s="14"/>
    </row>
    <row r="12" spans="1:11" ht="17.25" x14ac:dyDescent="0.15">
      <c r="B12" s="14"/>
      <c r="D12" s="23"/>
      <c r="E12" s="6"/>
      <c r="F12" s="26"/>
    </row>
    <row r="13" spans="1:11" x14ac:dyDescent="0.15">
      <c r="D13" s="23"/>
      <c r="E13" s="6"/>
      <c r="F13" s="8"/>
    </row>
    <row r="14" spans="1:11" ht="17.25" x14ac:dyDescent="0.15">
      <c r="D14" s="23"/>
      <c r="E14" s="6"/>
      <c r="F14" s="29"/>
    </row>
    <row r="15" spans="1:11" ht="17.25" x14ac:dyDescent="0.15">
      <c r="D15" s="23"/>
      <c r="E15" s="6"/>
      <c r="F15" s="29"/>
    </row>
    <row r="16" spans="1:11" ht="17.25" x14ac:dyDescent="0.15">
      <c r="D16" s="23"/>
      <c r="E16" s="6"/>
      <c r="F16" s="29"/>
      <c r="G16" s="14"/>
      <c r="H16" s="20"/>
    </row>
    <row r="17" spans="4:8" x14ac:dyDescent="0.15">
      <c r="D17" s="23"/>
      <c r="E17" s="6"/>
      <c r="F17" s="8"/>
      <c r="G17" s="14"/>
      <c r="H17" s="20"/>
    </row>
    <row r="18" spans="4:8" ht="17.25" x14ac:dyDescent="0.15">
      <c r="D18" s="23"/>
      <c r="E18" s="6"/>
      <c r="F18" s="25"/>
    </row>
    <row r="19" spans="4:8" x14ac:dyDescent="0.15">
      <c r="D19" s="23"/>
      <c r="E19" s="6"/>
      <c r="F19" s="14"/>
    </row>
    <row r="20" spans="4:8" x14ac:dyDescent="0.15">
      <c r="D20" s="23"/>
      <c r="E20" s="6"/>
    </row>
    <row r="21" spans="4:8" x14ac:dyDescent="0.15">
      <c r="D21" s="23"/>
      <c r="E21" s="6"/>
    </row>
    <row r="22" spans="4:8" x14ac:dyDescent="0.15">
      <c r="D22" s="23"/>
      <c r="E22" s="6"/>
    </row>
    <row r="23" spans="4:8" x14ac:dyDescent="0.15">
      <c r="D23" s="23"/>
      <c r="E23" s="6"/>
    </row>
    <row r="24" spans="4:8" x14ac:dyDescent="0.15">
      <c r="D24" s="23"/>
      <c r="E24" s="6"/>
    </row>
    <row r="25" spans="4:8" x14ac:dyDescent="0.15">
      <c r="D25" s="23"/>
      <c r="E25" s="6"/>
    </row>
    <row r="26" spans="4:8" x14ac:dyDescent="0.15">
      <c r="D26" s="23"/>
      <c r="E26" s="6"/>
    </row>
    <row r="27" spans="4:8" x14ac:dyDescent="0.15">
      <c r="D27" s="23"/>
      <c r="E27" s="6"/>
    </row>
    <row r="28" spans="4:8" x14ac:dyDescent="0.15">
      <c r="D28" s="23"/>
    </row>
    <row r="29" spans="4:8" x14ac:dyDescent="0.15">
      <c r="D29" s="23"/>
    </row>
    <row r="30" spans="4:8" x14ac:dyDescent="0.15">
      <c r="D30" s="23"/>
    </row>
    <row r="31" spans="4:8" x14ac:dyDescent="0.15">
      <c r="D31" s="23"/>
    </row>
    <row r="32" spans="4:8" x14ac:dyDescent="0.15">
      <c r="D32" s="23"/>
    </row>
    <row r="33" spans="4:4" x14ac:dyDescent="0.15">
      <c r="D33" s="23"/>
    </row>
    <row r="34" spans="4:4" x14ac:dyDescent="0.15">
      <c r="D34" s="23"/>
    </row>
    <row r="35" spans="4:4" x14ac:dyDescent="0.15">
      <c r="D35" s="23"/>
    </row>
    <row r="36" spans="4:4" x14ac:dyDescent="0.15">
      <c r="D36" s="23"/>
    </row>
    <row r="37" spans="4:4" x14ac:dyDescent="0.15">
      <c r="D37" s="23"/>
    </row>
    <row r="38" spans="4:4" x14ac:dyDescent="0.15">
      <c r="D38" s="23"/>
    </row>
    <row r="39" spans="4:4" x14ac:dyDescent="0.15">
      <c r="D39" s="23"/>
    </row>
    <row r="40" spans="4:4" x14ac:dyDescent="0.15">
      <c r="D40" s="23"/>
    </row>
    <row r="41" spans="4:4" x14ac:dyDescent="0.15">
      <c r="D41" s="23"/>
    </row>
    <row r="42" spans="4:4" x14ac:dyDescent="0.15">
      <c r="D42" s="23"/>
    </row>
    <row r="43" spans="4:4" x14ac:dyDescent="0.15">
      <c r="D43" s="23"/>
    </row>
    <row r="44" spans="4:4" x14ac:dyDescent="0.15">
      <c r="D44" s="23"/>
    </row>
    <row r="45" spans="4:4" x14ac:dyDescent="0.15">
      <c r="D45" s="23"/>
    </row>
    <row r="46" spans="4:4" x14ac:dyDescent="0.15">
      <c r="D46" s="23"/>
    </row>
    <row r="47" spans="4:4" x14ac:dyDescent="0.15">
      <c r="D47" s="23"/>
    </row>
    <row r="48" spans="4:4" x14ac:dyDescent="0.15">
      <c r="D48" s="23"/>
    </row>
    <row r="49" spans="4:4" x14ac:dyDescent="0.15">
      <c r="D49" s="23"/>
    </row>
    <row r="50" spans="4:4" x14ac:dyDescent="0.15">
      <c r="D50" s="23"/>
    </row>
    <row r="51" spans="4:4" x14ac:dyDescent="0.15">
      <c r="D51" s="23"/>
    </row>
    <row r="52" spans="4:4" x14ac:dyDescent="0.15">
      <c r="D52" s="23"/>
    </row>
    <row r="53" spans="4:4" x14ac:dyDescent="0.15">
      <c r="D53" s="23"/>
    </row>
    <row r="54" spans="4:4" x14ac:dyDescent="0.15">
      <c r="D54" s="23"/>
    </row>
    <row r="55" spans="4:4" x14ac:dyDescent="0.15">
      <c r="D55" s="23"/>
    </row>
    <row r="56" spans="4:4" x14ac:dyDescent="0.15">
      <c r="D56" s="23"/>
    </row>
    <row r="57" spans="4:4" x14ac:dyDescent="0.15">
      <c r="D57" s="23"/>
    </row>
    <row r="58" spans="4:4" x14ac:dyDescent="0.15">
      <c r="D58" s="23"/>
    </row>
    <row r="59" spans="4:4" x14ac:dyDescent="0.15">
      <c r="D59" s="23"/>
    </row>
    <row r="60" spans="4:4" x14ac:dyDescent="0.15">
      <c r="D60" s="23"/>
    </row>
    <row r="61" spans="4:4" x14ac:dyDescent="0.15">
      <c r="D61" s="23"/>
    </row>
    <row r="62" spans="4:4" x14ac:dyDescent="0.15">
      <c r="D62" s="23"/>
    </row>
    <row r="63" spans="4:4" x14ac:dyDescent="0.15">
      <c r="D63" s="23"/>
    </row>
    <row r="64" spans="4:4" x14ac:dyDescent="0.15">
      <c r="D64" s="23"/>
    </row>
    <row r="65" spans="4:4" x14ac:dyDescent="0.15">
      <c r="D65" s="23"/>
    </row>
    <row r="66" spans="4:4" x14ac:dyDescent="0.15">
      <c r="D66" s="23"/>
    </row>
    <row r="67" spans="4:4" x14ac:dyDescent="0.15">
      <c r="D67" s="23"/>
    </row>
    <row r="68" spans="4:4" x14ac:dyDescent="0.15">
      <c r="D68" s="23"/>
    </row>
    <row r="69" spans="4:4" x14ac:dyDescent="0.15">
      <c r="D69" s="23"/>
    </row>
    <row r="70" spans="4:4" x14ac:dyDescent="0.15">
      <c r="D70" s="23"/>
    </row>
    <row r="71" spans="4:4" x14ac:dyDescent="0.15">
      <c r="D71" s="23"/>
    </row>
    <row r="72" spans="4:4" x14ac:dyDescent="0.15">
      <c r="D72" s="23"/>
    </row>
    <row r="73" spans="4:4" x14ac:dyDescent="0.15">
      <c r="D73" s="23"/>
    </row>
    <row r="74" spans="4:4" x14ac:dyDescent="0.15">
      <c r="D74" s="23"/>
    </row>
    <row r="75" spans="4:4" x14ac:dyDescent="0.15">
      <c r="D75" s="23"/>
    </row>
    <row r="76" spans="4:4" x14ac:dyDescent="0.15">
      <c r="D76" s="23"/>
    </row>
    <row r="77" spans="4:4" x14ac:dyDescent="0.15">
      <c r="D77" s="23"/>
    </row>
    <row r="78" spans="4:4" x14ac:dyDescent="0.15">
      <c r="D78" s="23"/>
    </row>
    <row r="79" spans="4:4" x14ac:dyDescent="0.15">
      <c r="D79" s="23"/>
    </row>
    <row r="80" spans="4:4" x14ac:dyDescent="0.15">
      <c r="D80" s="23"/>
    </row>
    <row r="81" spans="4:4" x14ac:dyDescent="0.15">
      <c r="D81" s="23"/>
    </row>
    <row r="82" spans="4:4" x14ac:dyDescent="0.15">
      <c r="D82" s="23"/>
    </row>
    <row r="83" spans="4:4" x14ac:dyDescent="0.15">
      <c r="D83" s="23"/>
    </row>
    <row r="84" spans="4:4" x14ac:dyDescent="0.15">
      <c r="D84" s="23"/>
    </row>
    <row r="85" spans="4:4" x14ac:dyDescent="0.15">
      <c r="D85" s="23"/>
    </row>
    <row r="86" spans="4:4" x14ac:dyDescent="0.15">
      <c r="D86" s="23"/>
    </row>
    <row r="87" spans="4:4" x14ac:dyDescent="0.15">
      <c r="D87" s="23"/>
    </row>
    <row r="88" spans="4:4" x14ac:dyDescent="0.15">
      <c r="D88" s="23"/>
    </row>
    <row r="89" spans="4:4" x14ac:dyDescent="0.15">
      <c r="D89" s="23"/>
    </row>
    <row r="90" spans="4:4" x14ac:dyDescent="0.15">
      <c r="D90" s="23"/>
    </row>
    <row r="91" spans="4:4" x14ac:dyDescent="0.15">
      <c r="D91" s="23"/>
    </row>
    <row r="92" spans="4:4" x14ac:dyDescent="0.15">
      <c r="D92" s="23"/>
    </row>
    <row r="93" spans="4:4" x14ac:dyDescent="0.15">
      <c r="D93" s="23"/>
    </row>
    <row r="94" spans="4:4" x14ac:dyDescent="0.15">
      <c r="D94" s="23"/>
    </row>
    <row r="95" spans="4:4" x14ac:dyDescent="0.15">
      <c r="D95" s="23"/>
    </row>
    <row r="96" spans="4:4" x14ac:dyDescent="0.15">
      <c r="D96" s="23"/>
    </row>
    <row r="97" spans="4:4" x14ac:dyDescent="0.15">
      <c r="D97" s="23"/>
    </row>
    <row r="98" spans="4:4" x14ac:dyDescent="0.15">
      <c r="D98" s="23"/>
    </row>
    <row r="99" spans="4:4" x14ac:dyDescent="0.15">
      <c r="D99" s="23"/>
    </row>
    <row r="100" spans="4:4" x14ac:dyDescent="0.15">
      <c r="D100" s="23"/>
    </row>
    <row r="101" spans="4:4" x14ac:dyDescent="0.15">
      <c r="D101" s="23"/>
    </row>
    <row r="102" spans="4:4" x14ac:dyDescent="0.15">
      <c r="D102" s="23"/>
    </row>
    <row r="103" spans="4:4" x14ac:dyDescent="0.15">
      <c r="D103" s="23"/>
    </row>
    <row r="104" spans="4:4" x14ac:dyDescent="0.15">
      <c r="D104" s="23"/>
    </row>
    <row r="105" spans="4:4" x14ac:dyDescent="0.15">
      <c r="D105" s="23"/>
    </row>
    <row r="106" spans="4:4" x14ac:dyDescent="0.15">
      <c r="D106" s="23"/>
    </row>
    <row r="107" spans="4:4" x14ac:dyDescent="0.15">
      <c r="D107" s="23"/>
    </row>
    <row r="108" spans="4:4" x14ac:dyDescent="0.15">
      <c r="D108" s="23"/>
    </row>
    <row r="109" spans="4:4" x14ac:dyDescent="0.15">
      <c r="D109" s="23"/>
    </row>
    <row r="110" spans="4:4" x14ac:dyDescent="0.15">
      <c r="D110" s="23"/>
    </row>
    <row r="111" spans="4:4" x14ac:dyDescent="0.15">
      <c r="D111" s="23"/>
    </row>
    <row r="112" spans="4:4" x14ac:dyDescent="0.15">
      <c r="D112" s="23"/>
    </row>
    <row r="113" spans="4:4" x14ac:dyDescent="0.15">
      <c r="D113" s="23"/>
    </row>
    <row r="114" spans="4:4" x14ac:dyDescent="0.15">
      <c r="D114" s="23"/>
    </row>
    <row r="115" spans="4:4" x14ac:dyDescent="0.15">
      <c r="D115" s="23"/>
    </row>
    <row r="116" spans="4:4" x14ac:dyDescent="0.15">
      <c r="D116" s="23"/>
    </row>
    <row r="117" spans="4:4" x14ac:dyDescent="0.15">
      <c r="D117" s="23"/>
    </row>
    <row r="118" spans="4:4" x14ac:dyDescent="0.15">
      <c r="D118" s="23"/>
    </row>
    <row r="119" spans="4:4" x14ac:dyDescent="0.15">
      <c r="D119" s="23"/>
    </row>
    <row r="120" spans="4:4" x14ac:dyDescent="0.15">
      <c r="D120" s="23"/>
    </row>
    <row r="121" spans="4:4" x14ac:dyDescent="0.15">
      <c r="D121" s="23"/>
    </row>
    <row r="122" spans="4:4" x14ac:dyDescent="0.15">
      <c r="D122" s="23"/>
    </row>
    <row r="123" spans="4:4" x14ac:dyDescent="0.15">
      <c r="D123" s="23"/>
    </row>
    <row r="124" spans="4:4" x14ac:dyDescent="0.15">
      <c r="D124" s="23"/>
    </row>
    <row r="125" spans="4:4" x14ac:dyDescent="0.15">
      <c r="D125" s="23"/>
    </row>
    <row r="126" spans="4:4" x14ac:dyDescent="0.15">
      <c r="D126" s="23"/>
    </row>
    <row r="127" spans="4:4" x14ac:dyDescent="0.15">
      <c r="D127" s="23"/>
    </row>
    <row r="128" spans="4:4" x14ac:dyDescent="0.15">
      <c r="D128" s="23"/>
    </row>
    <row r="129" spans="4:4" x14ac:dyDescent="0.15">
      <c r="D129" s="23"/>
    </row>
    <row r="130" spans="4:4" x14ac:dyDescent="0.15">
      <c r="D130" s="23"/>
    </row>
    <row r="131" spans="4:4" x14ac:dyDescent="0.15">
      <c r="D131" s="23"/>
    </row>
    <row r="132" spans="4:4" x14ac:dyDescent="0.15">
      <c r="D132" s="23"/>
    </row>
    <row r="133" spans="4:4" x14ac:dyDescent="0.15">
      <c r="D133" s="23"/>
    </row>
    <row r="134" spans="4:4" x14ac:dyDescent="0.15">
      <c r="D134" s="23"/>
    </row>
    <row r="135" spans="4:4" x14ac:dyDescent="0.15">
      <c r="D135" s="23"/>
    </row>
    <row r="136" spans="4:4" x14ac:dyDescent="0.15">
      <c r="D136" s="23"/>
    </row>
    <row r="137" spans="4:4" x14ac:dyDescent="0.15">
      <c r="D137" s="23"/>
    </row>
    <row r="138" spans="4:4" x14ac:dyDescent="0.15">
      <c r="D138" s="23"/>
    </row>
    <row r="139" spans="4:4" x14ac:dyDescent="0.15">
      <c r="D139" s="23"/>
    </row>
    <row r="140" spans="4:4" x14ac:dyDescent="0.15">
      <c r="D140" s="23"/>
    </row>
    <row r="141" spans="4:4" x14ac:dyDescent="0.15">
      <c r="D141" s="23"/>
    </row>
    <row r="142" spans="4:4" x14ac:dyDescent="0.15">
      <c r="D142" s="23"/>
    </row>
    <row r="143" spans="4:4" x14ac:dyDescent="0.15">
      <c r="D143" s="23"/>
    </row>
    <row r="144" spans="4:4" x14ac:dyDescent="0.15">
      <c r="D144" s="23"/>
    </row>
    <row r="145" spans="4:4" x14ac:dyDescent="0.15">
      <c r="D145" s="23"/>
    </row>
    <row r="146" spans="4:4" x14ac:dyDescent="0.15">
      <c r="D146" s="23"/>
    </row>
    <row r="147" spans="4:4" x14ac:dyDescent="0.15">
      <c r="D147" s="23"/>
    </row>
    <row r="148" spans="4:4" x14ac:dyDescent="0.15">
      <c r="D148" s="23"/>
    </row>
    <row r="149" spans="4:4" x14ac:dyDescent="0.15">
      <c r="D149" s="23"/>
    </row>
    <row r="150" spans="4:4" x14ac:dyDescent="0.15">
      <c r="D150" s="23"/>
    </row>
    <row r="151" spans="4:4" x14ac:dyDescent="0.15">
      <c r="D151" s="23"/>
    </row>
    <row r="152" spans="4:4" x14ac:dyDescent="0.15">
      <c r="D152" s="23"/>
    </row>
    <row r="153" spans="4:4" x14ac:dyDescent="0.15">
      <c r="D153" s="23"/>
    </row>
    <row r="154" spans="4:4" x14ac:dyDescent="0.15">
      <c r="D154" s="23"/>
    </row>
    <row r="155" spans="4:4" x14ac:dyDescent="0.15">
      <c r="D155" s="23"/>
    </row>
    <row r="156" spans="4:4" x14ac:dyDescent="0.15">
      <c r="D156" s="23"/>
    </row>
    <row r="157" spans="4:4" x14ac:dyDescent="0.15">
      <c r="D157" s="23"/>
    </row>
    <row r="158" spans="4:4" x14ac:dyDescent="0.15">
      <c r="D158" s="23"/>
    </row>
    <row r="159" spans="4:4" x14ac:dyDescent="0.15">
      <c r="D159" s="23"/>
    </row>
    <row r="160" spans="4:4" x14ac:dyDescent="0.15">
      <c r="D160" s="23"/>
    </row>
    <row r="161" spans="4:4" x14ac:dyDescent="0.15">
      <c r="D161" s="23"/>
    </row>
    <row r="162" spans="4:4" x14ac:dyDescent="0.15">
      <c r="D162" s="23"/>
    </row>
    <row r="163" spans="4:4" x14ac:dyDescent="0.15">
      <c r="D163" s="23"/>
    </row>
    <row r="164" spans="4:4" x14ac:dyDescent="0.15">
      <c r="D164" s="23"/>
    </row>
    <row r="165" spans="4:4" x14ac:dyDescent="0.15">
      <c r="D165" s="23"/>
    </row>
    <row r="166" spans="4:4" x14ac:dyDescent="0.15">
      <c r="D166" s="23"/>
    </row>
    <row r="167" spans="4:4" x14ac:dyDescent="0.15">
      <c r="D167" s="23"/>
    </row>
    <row r="168" spans="4:4" x14ac:dyDescent="0.15">
      <c r="D168" s="23"/>
    </row>
    <row r="169" spans="4:4" x14ac:dyDescent="0.15">
      <c r="D169" s="23"/>
    </row>
    <row r="170" spans="4:4" x14ac:dyDescent="0.15">
      <c r="D170" s="23"/>
    </row>
    <row r="171" spans="4:4" x14ac:dyDescent="0.15">
      <c r="D171" s="23"/>
    </row>
    <row r="172" spans="4:4" x14ac:dyDescent="0.15">
      <c r="D172" s="23"/>
    </row>
    <row r="173" spans="4:4" x14ac:dyDescent="0.15">
      <c r="D173" s="23"/>
    </row>
    <row r="174" spans="4:4" x14ac:dyDescent="0.15">
      <c r="D174" s="23"/>
    </row>
    <row r="175" spans="4:4" x14ac:dyDescent="0.15">
      <c r="D175" s="23"/>
    </row>
    <row r="176" spans="4:4" x14ac:dyDescent="0.15">
      <c r="D176" s="23"/>
    </row>
    <row r="177" spans="4:4" x14ac:dyDescent="0.15">
      <c r="D177" s="23"/>
    </row>
    <row r="178" spans="4:4" x14ac:dyDescent="0.15">
      <c r="D178" s="23"/>
    </row>
    <row r="179" spans="4:4" x14ac:dyDescent="0.15">
      <c r="D179" s="23"/>
    </row>
    <row r="180" spans="4:4" x14ac:dyDescent="0.15">
      <c r="D180" s="23"/>
    </row>
    <row r="181" spans="4:4" x14ac:dyDescent="0.15">
      <c r="D181" s="23"/>
    </row>
    <row r="182" spans="4:4" x14ac:dyDescent="0.15">
      <c r="D182" s="23"/>
    </row>
    <row r="183" spans="4:4" x14ac:dyDescent="0.15">
      <c r="D183" s="23"/>
    </row>
    <row r="184" spans="4:4" x14ac:dyDescent="0.15">
      <c r="D184" s="23"/>
    </row>
    <row r="185" spans="4:4" x14ac:dyDescent="0.15">
      <c r="D185" s="23"/>
    </row>
    <row r="186" spans="4:4" x14ac:dyDescent="0.15">
      <c r="D186" s="23"/>
    </row>
    <row r="187" spans="4:4" x14ac:dyDescent="0.15">
      <c r="D187" s="23"/>
    </row>
    <row r="188" spans="4:4" x14ac:dyDescent="0.15">
      <c r="D188" s="23"/>
    </row>
    <row r="189" spans="4:4" x14ac:dyDescent="0.15">
      <c r="D189" s="23"/>
    </row>
    <row r="190" spans="4:4" x14ac:dyDescent="0.15">
      <c r="D190" s="23"/>
    </row>
    <row r="191" spans="4:4" x14ac:dyDescent="0.15">
      <c r="D191" s="23"/>
    </row>
    <row r="192" spans="4:4" x14ac:dyDescent="0.15">
      <c r="D192" s="23"/>
    </row>
    <row r="193" spans="4:4" x14ac:dyDescent="0.15">
      <c r="D193" s="23"/>
    </row>
    <row r="194" spans="4:4" x14ac:dyDescent="0.15">
      <c r="D194" s="23"/>
    </row>
    <row r="195" spans="4:4" x14ac:dyDescent="0.15">
      <c r="D195" s="23"/>
    </row>
    <row r="196" spans="4:4" x14ac:dyDescent="0.15">
      <c r="D196" s="23"/>
    </row>
    <row r="197" spans="4:4" x14ac:dyDescent="0.15">
      <c r="D197" s="23"/>
    </row>
    <row r="198" spans="4:4" x14ac:dyDescent="0.15">
      <c r="D198" s="23"/>
    </row>
    <row r="199" spans="4:4" x14ac:dyDescent="0.15">
      <c r="D199" s="23"/>
    </row>
    <row r="200" spans="4:4" x14ac:dyDescent="0.15">
      <c r="D200" s="23"/>
    </row>
    <row r="201" spans="4:4" x14ac:dyDescent="0.15">
      <c r="D201" s="23"/>
    </row>
    <row r="202" spans="4:4" x14ac:dyDescent="0.15">
      <c r="D202" s="23"/>
    </row>
    <row r="203" spans="4:4" x14ac:dyDescent="0.15">
      <c r="D203" s="23"/>
    </row>
    <row r="204" spans="4:4" x14ac:dyDescent="0.15">
      <c r="D204" s="23"/>
    </row>
    <row r="205" spans="4:4" x14ac:dyDescent="0.15">
      <c r="D205" s="23"/>
    </row>
    <row r="206" spans="4:4" x14ac:dyDescent="0.15">
      <c r="D206" s="23"/>
    </row>
    <row r="207" spans="4:4" x14ac:dyDescent="0.15">
      <c r="D207" s="23"/>
    </row>
    <row r="208" spans="4:4" x14ac:dyDescent="0.15">
      <c r="D208" s="23"/>
    </row>
    <row r="209" spans="4:4" x14ac:dyDescent="0.15">
      <c r="D209" s="23"/>
    </row>
    <row r="210" spans="4:4" x14ac:dyDescent="0.15">
      <c r="D210" s="23"/>
    </row>
    <row r="211" spans="4:4" x14ac:dyDescent="0.15">
      <c r="D211" s="23"/>
    </row>
    <row r="212" spans="4:4" x14ac:dyDescent="0.15">
      <c r="D212" s="23"/>
    </row>
    <row r="213" spans="4:4" x14ac:dyDescent="0.15">
      <c r="D213" s="23"/>
    </row>
    <row r="214" spans="4:4" x14ac:dyDescent="0.15">
      <c r="D214" s="23"/>
    </row>
    <row r="215" spans="4:4" x14ac:dyDescent="0.15">
      <c r="D215" s="23"/>
    </row>
    <row r="216" spans="4:4" x14ac:dyDescent="0.15">
      <c r="D216" s="23"/>
    </row>
    <row r="217" spans="4:4" x14ac:dyDescent="0.15">
      <c r="D217" s="23"/>
    </row>
    <row r="218" spans="4:4" x14ac:dyDescent="0.15">
      <c r="D218" s="23"/>
    </row>
    <row r="219" spans="4:4" x14ac:dyDescent="0.15">
      <c r="D219" s="23"/>
    </row>
    <row r="220" spans="4:4" x14ac:dyDescent="0.15">
      <c r="D220" s="23"/>
    </row>
    <row r="221" spans="4:4" x14ac:dyDescent="0.15">
      <c r="D221" s="23"/>
    </row>
    <row r="222" spans="4:4" x14ac:dyDescent="0.15">
      <c r="D222" s="23"/>
    </row>
    <row r="223" spans="4:4" x14ac:dyDescent="0.15">
      <c r="D223" s="23"/>
    </row>
    <row r="224" spans="4:4" x14ac:dyDescent="0.15">
      <c r="D224" s="23"/>
    </row>
    <row r="225" spans="4:4" x14ac:dyDescent="0.15">
      <c r="D225" s="23"/>
    </row>
    <row r="226" spans="4:4" x14ac:dyDescent="0.15">
      <c r="D226" s="23"/>
    </row>
    <row r="227" spans="4:4" x14ac:dyDescent="0.15">
      <c r="D227" s="23"/>
    </row>
    <row r="228" spans="4:4" x14ac:dyDescent="0.15">
      <c r="D228" s="23"/>
    </row>
    <row r="229" spans="4:4" x14ac:dyDescent="0.15">
      <c r="D229" s="23"/>
    </row>
    <row r="230" spans="4:4" x14ac:dyDescent="0.15">
      <c r="D230" s="23"/>
    </row>
    <row r="231" spans="4:4" x14ac:dyDescent="0.15">
      <c r="D231" s="23"/>
    </row>
    <row r="232" spans="4:4" x14ac:dyDescent="0.15">
      <c r="D232" s="23"/>
    </row>
    <row r="233" spans="4:4" x14ac:dyDescent="0.15">
      <c r="D233" s="23"/>
    </row>
    <row r="234" spans="4:4" x14ac:dyDescent="0.15">
      <c r="D234" s="23"/>
    </row>
    <row r="235" spans="4:4" x14ac:dyDescent="0.15">
      <c r="D235" s="23"/>
    </row>
    <row r="236" spans="4:4" x14ac:dyDescent="0.15">
      <c r="D236" s="23"/>
    </row>
    <row r="237" spans="4:4" x14ac:dyDescent="0.15">
      <c r="D237" s="23"/>
    </row>
    <row r="238" spans="4:4" x14ac:dyDescent="0.15">
      <c r="D238" s="23"/>
    </row>
    <row r="239" spans="4:4" x14ac:dyDescent="0.15">
      <c r="D239" s="23"/>
    </row>
    <row r="240" spans="4:4" x14ac:dyDescent="0.15">
      <c r="D240" s="23"/>
    </row>
    <row r="241" spans="4:4" x14ac:dyDescent="0.15">
      <c r="D241" s="23"/>
    </row>
    <row r="242" spans="4:4" x14ac:dyDescent="0.15">
      <c r="D242" s="23"/>
    </row>
  </sheetData>
  <mergeCells count="1">
    <mergeCell ref="A1:G1"/>
  </mergeCells>
  <phoneticPr fontId="1" type="noConversion"/>
  <pageMargins left="0.7" right="0.7" top="0.75" bottom="0.75" header="0.3" footer="0.3"/>
  <pageSetup paperSize="119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9406-4607-3442-9B30-AE0D041DD842}">
  <dimension ref="A3:H18"/>
  <sheetViews>
    <sheetView workbookViewId="0">
      <selection activeCell="D13" sqref="D13"/>
    </sheetView>
  </sheetViews>
  <sheetFormatPr defaultColWidth="11.04296875" defaultRowHeight="15" x14ac:dyDescent="0.15"/>
  <sheetData>
    <row r="3" spans="1:8" x14ac:dyDescent="0.15">
      <c r="B3" t="s">
        <v>5</v>
      </c>
      <c r="C3" t="s">
        <v>6</v>
      </c>
      <c r="D3" t="s">
        <v>7</v>
      </c>
      <c r="E3" t="s">
        <v>8</v>
      </c>
      <c r="F3" t="s">
        <v>9</v>
      </c>
      <c r="H3" t="s">
        <v>12</v>
      </c>
    </row>
    <row r="4" spans="1:8" x14ac:dyDescent="0.15">
      <c r="A4" s="4">
        <v>38078</v>
      </c>
      <c r="H4">
        <f>SUM(B4:F4)</f>
        <v>0</v>
      </c>
    </row>
    <row r="5" spans="1:8" x14ac:dyDescent="0.15">
      <c r="A5" s="4">
        <v>38473</v>
      </c>
      <c r="H5">
        <f t="shared" ref="H5:H14" si="0">SUM(B5:F5)</f>
        <v>0</v>
      </c>
    </row>
    <row r="6" spans="1:8" x14ac:dyDescent="0.15">
      <c r="A6" s="4">
        <v>38869</v>
      </c>
      <c r="H6">
        <f t="shared" si="0"/>
        <v>0</v>
      </c>
    </row>
    <row r="7" spans="1:8" x14ac:dyDescent="0.15">
      <c r="A7" s="4">
        <v>39264</v>
      </c>
      <c r="H7">
        <f t="shared" si="0"/>
        <v>0</v>
      </c>
    </row>
    <row r="8" spans="1:8" x14ac:dyDescent="0.15">
      <c r="A8" s="4">
        <v>39661</v>
      </c>
      <c r="H8">
        <f t="shared" si="0"/>
        <v>0</v>
      </c>
    </row>
    <row r="9" spans="1:8" x14ac:dyDescent="0.15">
      <c r="A9" s="4">
        <v>40057</v>
      </c>
      <c r="H9">
        <f t="shared" si="0"/>
        <v>0</v>
      </c>
    </row>
    <row r="10" spans="1:8" x14ac:dyDescent="0.15">
      <c r="A10" s="4">
        <v>40452</v>
      </c>
      <c r="H10">
        <f t="shared" si="0"/>
        <v>0</v>
      </c>
    </row>
    <row r="11" spans="1:8" x14ac:dyDescent="0.15">
      <c r="A11" s="4">
        <v>40848</v>
      </c>
      <c r="H11">
        <f t="shared" si="0"/>
        <v>0</v>
      </c>
    </row>
    <row r="12" spans="1:8" x14ac:dyDescent="0.15">
      <c r="A12" s="4">
        <v>41244</v>
      </c>
      <c r="H12">
        <f t="shared" si="0"/>
        <v>0</v>
      </c>
    </row>
    <row r="13" spans="1:8" x14ac:dyDescent="0.15">
      <c r="A13" s="4">
        <v>36892</v>
      </c>
      <c r="H13">
        <f>SUM(B13:F13)</f>
        <v>0</v>
      </c>
    </row>
    <row r="14" spans="1:8" x14ac:dyDescent="0.15">
      <c r="A14" s="4">
        <v>37288</v>
      </c>
      <c r="H14">
        <f t="shared" si="0"/>
        <v>0</v>
      </c>
    </row>
    <row r="15" spans="1:8" x14ac:dyDescent="0.15">
      <c r="A15" s="4">
        <v>37681</v>
      </c>
      <c r="H15">
        <f>SUM(B15:F15)</f>
        <v>0</v>
      </c>
    </row>
    <row r="18" spans="1:6" x14ac:dyDescent="0.15">
      <c r="A18" t="s">
        <v>13</v>
      </c>
      <c r="B18" s="5">
        <f>SUM(B4:B15)</f>
        <v>0</v>
      </c>
      <c r="C18" s="5">
        <f>SUM(C4:C15)</f>
        <v>0</v>
      </c>
      <c r="D18" s="5">
        <f>SUM(D4:D15)</f>
        <v>0</v>
      </c>
      <c r="E18" s="5">
        <f>SUM(E4:E15)</f>
        <v>0</v>
      </c>
      <c r="F18" s="5">
        <f>SUM(F4:F15)</f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1B8A-0E8E-394F-9746-B02269F0064A}">
  <dimension ref="A2:M23"/>
  <sheetViews>
    <sheetView topLeftCell="A5" zoomScale="75" workbookViewId="0">
      <selection activeCell="C13" sqref="C13:H13"/>
    </sheetView>
  </sheetViews>
  <sheetFormatPr defaultColWidth="11.04296875" defaultRowHeight="15" x14ac:dyDescent="0.15"/>
  <cols>
    <col min="1" max="1" width="25.9453125" customWidth="1"/>
  </cols>
  <sheetData>
    <row r="2" spans="1:13" x14ac:dyDescent="0.15">
      <c r="B2" s="4">
        <v>38078</v>
      </c>
      <c r="C2" s="4">
        <v>38473</v>
      </c>
      <c r="D2" s="4">
        <v>38869</v>
      </c>
      <c r="E2" s="4">
        <v>39264</v>
      </c>
      <c r="F2" s="4">
        <v>39661</v>
      </c>
      <c r="G2" s="4">
        <v>40057</v>
      </c>
      <c r="H2" s="4">
        <v>40452</v>
      </c>
      <c r="I2" s="4">
        <v>40848</v>
      </c>
      <c r="J2" s="4">
        <v>41244</v>
      </c>
      <c r="K2" s="4">
        <v>36892</v>
      </c>
      <c r="L2" s="4">
        <v>37288</v>
      </c>
      <c r="M2" s="4">
        <v>37681</v>
      </c>
    </row>
    <row r="3" spans="1:13" x14ac:dyDescent="0.15">
      <c r="A3" t="s">
        <v>14</v>
      </c>
    </row>
    <row r="4" spans="1:13" x14ac:dyDescent="0.15">
      <c r="A4" t="s">
        <v>15</v>
      </c>
    </row>
    <row r="5" spans="1:13" x14ac:dyDescent="0.15">
      <c r="A5" t="s">
        <v>27</v>
      </c>
    </row>
    <row r="6" spans="1:13" x14ac:dyDescent="0.15">
      <c r="A6" t="s">
        <v>16</v>
      </c>
    </row>
    <row r="7" spans="1:13" x14ac:dyDescent="0.15">
      <c r="A7" t="s">
        <v>17</v>
      </c>
    </row>
    <row r="9" spans="1:13" x14ac:dyDescent="0.15">
      <c r="A9" t="s">
        <v>28</v>
      </c>
      <c r="B9" s="5">
        <f>SUM(B3:B8)</f>
        <v>0</v>
      </c>
      <c r="C9" s="5">
        <f t="shared" ref="C9:M9" si="0">SUM(C3:C8)</f>
        <v>0</v>
      </c>
      <c r="D9" s="5">
        <f t="shared" si="0"/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</row>
    <row r="11" spans="1:13" x14ac:dyDescent="0.15">
      <c r="A11" t="s">
        <v>18</v>
      </c>
    </row>
    <row r="12" spans="1:13" x14ac:dyDescent="0.15">
      <c r="A12" t="s">
        <v>19</v>
      </c>
    </row>
    <row r="13" spans="1:13" x14ac:dyDescent="0.15">
      <c r="A13" t="s">
        <v>20</v>
      </c>
    </row>
    <row r="14" spans="1:13" x14ac:dyDescent="0.15">
      <c r="A14" t="s">
        <v>21</v>
      </c>
    </row>
    <row r="15" spans="1:13" x14ac:dyDescent="0.15">
      <c r="A15" t="s">
        <v>22</v>
      </c>
    </row>
    <row r="16" spans="1:13" x14ac:dyDescent="0.15">
      <c r="A16" t="s">
        <v>23</v>
      </c>
    </row>
    <row r="17" spans="1:13" x14ac:dyDescent="0.15">
      <c r="A17" t="s">
        <v>24</v>
      </c>
    </row>
    <row r="18" spans="1:13" x14ac:dyDescent="0.15">
      <c r="A18" t="s">
        <v>25</v>
      </c>
    </row>
    <row r="19" spans="1:13" x14ac:dyDescent="0.15">
      <c r="A19" t="s">
        <v>26</v>
      </c>
    </row>
    <row r="21" spans="1:13" x14ac:dyDescent="0.15">
      <c r="A21" t="s">
        <v>29</v>
      </c>
      <c r="B21" s="5">
        <f>(SUM(B11:B19))</f>
        <v>0</v>
      </c>
      <c r="C21" s="5">
        <f t="shared" ref="C21:M21" si="1">(SUM(C11:C19))</f>
        <v>0</v>
      </c>
      <c r="D21" s="5">
        <f t="shared" si="1"/>
        <v>0</v>
      </c>
      <c r="E21" s="5">
        <f t="shared" si="1"/>
        <v>0</v>
      </c>
      <c r="F21" s="5">
        <f t="shared" si="1"/>
        <v>0</v>
      </c>
      <c r="G21" s="5">
        <f t="shared" si="1"/>
        <v>0</v>
      </c>
      <c r="H21" s="5">
        <f t="shared" si="1"/>
        <v>0</v>
      </c>
      <c r="I21" s="5">
        <f t="shared" si="1"/>
        <v>0</v>
      </c>
      <c r="J21" s="5">
        <f t="shared" si="1"/>
        <v>0</v>
      </c>
      <c r="K21" s="5">
        <f t="shared" si="1"/>
        <v>0</v>
      </c>
      <c r="L21" s="5">
        <f t="shared" si="1"/>
        <v>0</v>
      </c>
      <c r="M21" s="5">
        <f t="shared" si="1"/>
        <v>0</v>
      </c>
    </row>
    <row r="23" spans="1:13" x14ac:dyDescent="0.15">
      <c r="A23" t="s">
        <v>30</v>
      </c>
      <c r="B23">
        <f>B9+B21</f>
        <v>0</v>
      </c>
      <c r="C23">
        <f t="shared" ref="C23:M23" si="2">C9+C21</f>
        <v>0</v>
      </c>
      <c r="D23">
        <f t="shared" si="2"/>
        <v>0</v>
      </c>
      <c r="E23">
        <f t="shared" si="2"/>
        <v>0</v>
      </c>
      <c r="F23">
        <f t="shared" si="2"/>
        <v>0</v>
      </c>
      <c r="G23">
        <f t="shared" si="2"/>
        <v>0</v>
      </c>
      <c r="H23">
        <f t="shared" si="2"/>
        <v>0</v>
      </c>
      <c r="I23">
        <f t="shared" si="2"/>
        <v>0</v>
      </c>
      <c r="J23">
        <f t="shared" si="2"/>
        <v>0</v>
      </c>
      <c r="K23">
        <f t="shared" si="2"/>
        <v>0</v>
      </c>
      <c r="L23">
        <f t="shared" si="2"/>
        <v>0</v>
      </c>
      <c r="M23">
        <f t="shared" si="2"/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D888-D140-E84C-96A4-952FECE9DE96}">
  <dimension ref="A1:D23"/>
  <sheetViews>
    <sheetView zoomScale="113" workbookViewId="0">
      <selection activeCell="C24" sqref="C24"/>
    </sheetView>
  </sheetViews>
  <sheetFormatPr defaultColWidth="11.04296875" defaultRowHeight="15" x14ac:dyDescent="0.15"/>
  <cols>
    <col min="3" max="3" width="25.9453125" customWidth="1"/>
  </cols>
  <sheetData>
    <row r="1" spans="1:4" x14ac:dyDescent="0.15">
      <c r="A1" t="s">
        <v>45</v>
      </c>
      <c r="C1" s="10" t="s">
        <v>48</v>
      </c>
      <c r="D1" s="10"/>
    </row>
    <row r="2" spans="1:4" x14ac:dyDescent="0.15">
      <c r="A2" t="s">
        <v>46</v>
      </c>
      <c r="C2" t="s">
        <v>49</v>
      </c>
    </row>
    <row r="3" spans="1:4" x14ac:dyDescent="0.15">
      <c r="A3" t="s">
        <v>47</v>
      </c>
      <c r="C3" t="s">
        <v>50</v>
      </c>
    </row>
    <row r="4" spans="1:4" x14ac:dyDescent="0.15">
      <c r="A4" t="s">
        <v>61</v>
      </c>
      <c r="C4" t="s">
        <v>51</v>
      </c>
    </row>
    <row r="5" spans="1:4" x14ac:dyDescent="0.15">
      <c r="A5" t="s">
        <v>62</v>
      </c>
      <c r="C5" t="s">
        <v>52</v>
      </c>
    </row>
    <row r="6" spans="1:4" x14ac:dyDescent="0.15">
      <c r="C6" t="s">
        <v>53</v>
      </c>
    </row>
    <row r="7" spans="1:4" x14ac:dyDescent="0.15">
      <c r="C7" t="s">
        <v>32</v>
      </c>
    </row>
    <row r="8" spans="1:4" x14ac:dyDescent="0.15">
      <c r="C8" t="s">
        <v>43</v>
      </c>
    </row>
    <row r="9" spans="1:4" x14ac:dyDescent="0.15">
      <c r="C9" t="s">
        <v>54</v>
      </c>
    </row>
    <row r="10" spans="1:4" x14ac:dyDescent="0.15">
      <c r="C10" t="s">
        <v>55</v>
      </c>
    </row>
    <row r="11" spans="1:4" x14ac:dyDescent="0.15">
      <c r="C11" t="s">
        <v>56</v>
      </c>
    </row>
    <row r="12" spans="1:4" x14ac:dyDescent="0.15">
      <c r="C12" t="s">
        <v>57</v>
      </c>
    </row>
    <row r="13" spans="1:4" x14ac:dyDescent="0.15">
      <c r="C13" t="s">
        <v>58</v>
      </c>
    </row>
    <row r="14" spans="1:4" x14ac:dyDescent="0.15">
      <c r="C14" t="s">
        <v>33</v>
      </c>
    </row>
    <row r="15" spans="1:4" x14ac:dyDescent="0.15">
      <c r="C15" t="s">
        <v>34</v>
      </c>
    </row>
    <row r="16" spans="1:4" x14ac:dyDescent="0.15">
      <c r="C16" t="s">
        <v>35</v>
      </c>
    </row>
    <row r="17" spans="3:3" x14ac:dyDescent="0.15">
      <c r="C17" t="s">
        <v>36</v>
      </c>
    </row>
    <row r="18" spans="3:3" x14ac:dyDescent="0.15">
      <c r="C18" t="s">
        <v>37</v>
      </c>
    </row>
    <row r="19" spans="3:3" x14ac:dyDescent="0.15">
      <c r="C19" t="s">
        <v>38</v>
      </c>
    </row>
    <row r="20" spans="3:3" x14ac:dyDescent="0.15">
      <c r="C20" t="s">
        <v>39</v>
      </c>
    </row>
    <row r="21" spans="3:3" x14ac:dyDescent="0.15">
      <c r="C21" t="s">
        <v>40</v>
      </c>
    </row>
    <row r="22" spans="3:3" x14ac:dyDescent="0.15">
      <c r="C22" t="s">
        <v>41</v>
      </c>
    </row>
    <row r="23" spans="3:3" x14ac:dyDescent="0.15">
      <c r="C23" t="s">
        <v>42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b0f74d-3b7a-485a-aa5e-2d90d69d85ab">
      <Terms xmlns="http://schemas.microsoft.com/office/infopath/2007/PartnerControls"/>
    </lcf76f155ced4ddcb4097134ff3c332f>
    <TaxCatchAll xmlns="f1d9ca1b-7eba-43ea-a5c9-2f681b86160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B9C558DE7AE7349B0730642F3BA7684" ma:contentTypeVersion="13" ma:contentTypeDescription="建立新的文件。" ma:contentTypeScope="" ma:versionID="94eabf6ba795e89ade581587b3d23dec">
  <xsd:schema xmlns:xsd="http://www.w3.org/2001/XMLSchema" xmlns:xs="http://www.w3.org/2001/XMLSchema" xmlns:p="http://schemas.microsoft.com/office/2006/metadata/properties" xmlns:ns2="51b0f74d-3b7a-485a-aa5e-2d90d69d85ab" xmlns:ns3="f1d9ca1b-7eba-43ea-a5c9-2f681b861609" targetNamespace="http://schemas.microsoft.com/office/2006/metadata/properties" ma:root="true" ma:fieldsID="1c9e87c81ebf2ccc00845fb90e38ff9c" ns2:_="" ns3:_="">
    <xsd:import namespace="51b0f74d-3b7a-485a-aa5e-2d90d69d85ab"/>
    <xsd:import namespace="f1d9ca1b-7eba-43ea-a5c9-2f681b86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0f74d-3b7a-485a-aa5e-2d90d69d85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5696f623-e470-49a0-b777-c8886ad5e3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9ca1b-7eba-43ea-a5c9-2f681b86160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e0d00e-1860-4a6f-82bd-16eb8c27e2b6}" ma:internalName="TaxCatchAll" ma:showField="CatchAllData" ma:web="f1d9ca1b-7eba-43ea-a5c9-2f681b86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640790-B3D1-4D65-9E15-BD004DE417EB}">
  <ds:schemaRefs>
    <ds:schemaRef ds:uri="http://schemas.microsoft.com/office/2006/metadata/properties"/>
    <ds:schemaRef ds:uri="http://www.w3.org/2000/xmlns/"/>
    <ds:schemaRef ds:uri="51b0f74d-3b7a-485a-aa5e-2d90d69d85ab"/>
    <ds:schemaRef ds:uri="http://schemas.microsoft.com/office/infopath/2007/PartnerControls"/>
    <ds:schemaRef ds:uri="f1d9ca1b-7eba-43ea-a5c9-2f681b861609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C9F9997C-32FB-4875-AE94-EFC45EDADD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A03EE2-2523-4E21-BC50-2EA02E6E77C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1b0f74d-3b7a-485a-aa5e-2d90d69d85ab"/>
    <ds:schemaRef ds:uri="f1d9ca1b-7eba-43ea-a5c9-2f681b861609"/>
  </ds:schemaRefs>
</ds:datastoreItem>
</file>

<file path=docMetadata/LabelInfo.xml><?xml version="1.0" encoding="utf-8"?>
<clbl:labelList xmlns:clbl="http://schemas.microsoft.com/office/2020/mipLabelMetadata">
  <clbl:label id="{200e77d8-d391-4149-a43f-5ac84eb0c385}" enabled="0" method="" siteId="{200e77d8-d391-4149-a43f-5ac84eb0c38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APR 04</vt:lpstr>
      <vt:lpstr>MAY 05</vt:lpstr>
      <vt:lpstr>JUN 06</vt:lpstr>
      <vt:lpstr>JUL 07</vt:lpstr>
      <vt:lpstr>AUG 08</vt:lpstr>
      <vt:lpstr>25 成本導師薪金</vt:lpstr>
      <vt:lpstr>Cash Boook</vt:lpstr>
      <vt:lpstr>25 成本教材</vt:lpstr>
      <vt:lpstr> 25 總分類帳</vt:lpstr>
      <vt:lpstr>清單名稱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 Yu</dc:creator>
  <cp:lastModifiedBy>Mark  Yu</cp:lastModifiedBy>
  <dcterms:created xsi:type="dcterms:W3CDTF">2024-11-03T09:03:58Z</dcterms:created>
  <dcterms:modified xsi:type="dcterms:W3CDTF">2026-07-15T15:02:03Z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0x0101003B9C558DE7AE7349B0730642F3BA7684</vt:lpwstr>
  </property>
  <property fmtid="{D5CDD505-2E9C-101B-9397-08002B2CF9AE}" pid="3" name="MediaServiceImageTags">
    <vt:lpwstr/>
  </property>
</Properties>
</file>